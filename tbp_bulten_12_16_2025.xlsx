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spotrates\"/>
    </mc:Choice>
  </mc:AlternateContent>
  <xr:revisionPtr revIDLastSave="0" documentId="13_ncr:1_{FA63A6E9-5786-4AE0-8209-0EBBB65497E5}" xr6:coauthVersionLast="36" xr6:coauthVersionMax="36" xr10:uidLastSave="{00000000-0000-0000-0000-000000000000}"/>
  <bookViews>
    <workbookView xWindow="0" yWindow="0" windowWidth="28800" windowHeight="12810" xr2:uid="{9CC14663-0C88-4DBB-9CDA-E18B05D5E387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1" hidden="1">Sheet2!$A$1:$K$142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E2" i="2"/>
  <c r="F2" i="2"/>
  <c r="G2" i="2"/>
  <c r="H2" i="2"/>
  <c r="I2" i="2"/>
  <c r="J2" i="2"/>
  <c r="K2" i="2"/>
  <c r="A57" i="2"/>
  <c r="B57" i="2"/>
  <c r="N57" i="2" s="1"/>
  <c r="C57" i="2"/>
  <c r="D57" i="2"/>
  <c r="E57" i="2"/>
  <c r="F57" i="2"/>
  <c r="G57" i="2"/>
  <c r="H57" i="2"/>
  <c r="I57" i="2"/>
  <c r="J57" i="2"/>
  <c r="K57" i="2"/>
  <c r="A45" i="2"/>
  <c r="B45" i="2"/>
  <c r="M45" i="2" s="1"/>
  <c r="C45" i="2"/>
  <c r="D45" i="2"/>
  <c r="E45" i="2"/>
  <c r="F45" i="2"/>
  <c r="G45" i="2"/>
  <c r="H45" i="2"/>
  <c r="I45" i="2"/>
  <c r="J45" i="2"/>
  <c r="K45" i="2"/>
  <c r="A136" i="2"/>
  <c r="B136" i="2"/>
  <c r="N136" i="2" s="1"/>
  <c r="C136" i="2"/>
  <c r="D136" i="2"/>
  <c r="E136" i="2"/>
  <c r="F136" i="2"/>
  <c r="G136" i="2"/>
  <c r="H136" i="2"/>
  <c r="I136" i="2"/>
  <c r="J136" i="2"/>
  <c r="K136" i="2"/>
  <c r="A6" i="2"/>
  <c r="B6" i="2"/>
  <c r="C6" i="2"/>
  <c r="D6" i="2"/>
  <c r="E6" i="2"/>
  <c r="F6" i="2"/>
  <c r="G6" i="2"/>
  <c r="H6" i="2"/>
  <c r="I6" i="2"/>
  <c r="J6" i="2"/>
  <c r="K6" i="2"/>
  <c r="A89" i="2"/>
  <c r="B89" i="2"/>
  <c r="N89" i="2" s="1"/>
  <c r="C89" i="2"/>
  <c r="D89" i="2"/>
  <c r="E89" i="2"/>
  <c r="F89" i="2"/>
  <c r="G89" i="2"/>
  <c r="H89" i="2"/>
  <c r="I89" i="2"/>
  <c r="J89" i="2"/>
  <c r="K89" i="2"/>
  <c r="A8" i="2"/>
  <c r="B8" i="2"/>
  <c r="L8" i="2" s="1"/>
  <c r="C8" i="2"/>
  <c r="D8" i="2"/>
  <c r="E8" i="2"/>
  <c r="F8" i="2"/>
  <c r="G8" i="2"/>
  <c r="H8" i="2"/>
  <c r="I8" i="2"/>
  <c r="J8" i="2"/>
  <c r="K8" i="2"/>
  <c r="A9" i="2"/>
  <c r="B9" i="2"/>
  <c r="C9" i="2"/>
  <c r="D9" i="2"/>
  <c r="E9" i="2"/>
  <c r="F9" i="2"/>
  <c r="G9" i="2"/>
  <c r="H9" i="2"/>
  <c r="I9" i="2"/>
  <c r="J9" i="2"/>
  <c r="K9" i="2"/>
  <c r="A12" i="2"/>
  <c r="B12" i="2"/>
  <c r="N12" i="2" s="1"/>
  <c r="C12" i="2"/>
  <c r="D12" i="2"/>
  <c r="E12" i="2"/>
  <c r="F12" i="2"/>
  <c r="G12" i="2"/>
  <c r="H12" i="2"/>
  <c r="I12" i="2"/>
  <c r="J12" i="2"/>
  <c r="K12" i="2"/>
  <c r="A11" i="2"/>
  <c r="B11" i="2"/>
  <c r="C11" i="2"/>
  <c r="D11" i="2"/>
  <c r="E11" i="2"/>
  <c r="F11" i="2"/>
  <c r="G11" i="2"/>
  <c r="H11" i="2"/>
  <c r="I11" i="2"/>
  <c r="J11" i="2"/>
  <c r="K11" i="2"/>
  <c r="A5" i="2"/>
  <c r="B5" i="2"/>
  <c r="L5" i="2" s="1"/>
  <c r="C5" i="2"/>
  <c r="D5" i="2"/>
  <c r="E5" i="2"/>
  <c r="F5" i="2"/>
  <c r="G5" i="2"/>
  <c r="H5" i="2"/>
  <c r="I5" i="2"/>
  <c r="J5" i="2"/>
  <c r="K5" i="2"/>
  <c r="A4" i="2"/>
  <c r="B4" i="2"/>
  <c r="N4" i="2" s="1"/>
  <c r="C4" i="2"/>
  <c r="D4" i="2"/>
  <c r="E4" i="2"/>
  <c r="F4" i="2"/>
  <c r="G4" i="2"/>
  <c r="H4" i="2"/>
  <c r="I4" i="2"/>
  <c r="J4" i="2"/>
  <c r="K4" i="2"/>
  <c r="A14" i="2"/>
  <c r="B14" i="2"/>
  <c r="C14" i="2"/>
  <c r="D14" i="2"/>
  <c r="E14" i="2"/>
  <c r="F14" i="2"/>
  <c r="G14" i="2"/>
  <c r="H14" i="2"/>
  <c r="I14" i="2"/>
  <c r="J14" i="2"/>
  <c r="K14" i="2"/>
  <c r="A15" i="2"/>
  <c r="B15" i="2"/>
  <c r="C15" i="2"/>
  <c r="D15" i="2"/>
  <c r="E15" i="2"/>
  <c r="F15" i="2"/>
  <c r="G15" i="2"/>
  <c r="H15" i="2"/>
  <c r="I15" i="2"/>
  <c r="J15" i="2"/>
  <c r="K15" i="2"/>
  <c r="A16" i="2"/>
  <c r="B16" i="2"/>
  <c r="C16" i="2"/>
  <c r="D16" i="2"/>
  <c r="E16" i="2"/>
  <c r="F16" i="2"/>
  <c r="G16" i="2"/>
  <c r="H16" i="2"/>
  <c r="I16" i="2"/>
  <c r="J16" i="2"/>
  <c r="K16" i="2"/>
  <c r="A17" i="2"/>
  <c r="B17" i="2"/>
  <c r="C17" i="2"/>
  <c r="D17" i="2"/>
  <c r="E17" i="2"/>
  <c r="F17" i="2"/>
  <c r="G17" i="2"/>
  <c r="H17" i="2"/>
  <c r="I17" i="2"/>
  <c r="J17" i="2"/>
  <c r="K17" i="2"/>
  <c r="A18" i="2"/>
  <c r="B18" i="2"/>
  <c r="C18" i="2"/>
  <c r="D18" i="2"/>
  <c r="E18" i="2"/>
  <c r="F18" i="2"/>
  <c r="G18" i="2"/>
  <c r="H18" i="2"/>
  <c r="I18" i="2"/>
  <c r="J18" i="2"/>
  <c r="K18" i="2"/>
  <c r="A19" i="2"/>
  <c r="B19" i="2"/>
  <c r="C19" i="2"/>
  <c r="D19" i="2"/>
  <c r="E19" i="2"/>
  <c r="F19" i="2"/>
  <c r="G19" i="2"/>
  <c r="H19" i="2"/>
  <c r="I19" i="2"/>
  <c r="J19" i="2"/>
  <c r="K19" i="2"/>
  <c r="A20" i="2"/>
  <c r="B20" i="2"/>
  <c r="C20" i="2"/>
  <c r="D20" i="2"/>
  <c r="E20" i="2"/>
  <c r="F20" i="2"/>
  <c r="G20" i="2"/>
  <c r="H20" i="2"/>
  <c r="I20" i="2"/>
  <c r="J20" i="2"/>
  <c r="K20" i="2"/>
  <c r="A21" i="2"/>
  <c r="B21" i="2"/>
  <c r="C21" i="2"/>
  <c r="D21" i="2"/>
  <c r="E21" i="2"/>
  <c r="F21" i="2"/>
  <c r="G21" i="2"/>
  <c r="H21" i="2"/>
  <c r="I21" i="2"/>
  <c r="J21" i="2"/>
  <c r="K21" i="2"/>
  <c r="A22" i="2"/>
  <c r="B22" i="2"/>
  <c r="C22" i="2"/>
  <c r="D22" i="2"/>
  <c r="E22" i="2"/>
  <c r="F22" i="2"/>
  <c r="G22" i="2"/>
  <c r="H22" i="2"/>
  <c r="I22" i="2"/>
  <c r="J22" i="2"/>
  <c r="K22" i="2"/>
  <c r="A23" i="2"/>
  <c r="B23" i="2"/>
  <c r="C23" i="2"/>
  <c r="D23" i="2"/>
  <c r="E23" i="2"/>
  <c r="F23" i="2"/>
  <c r="G23" i="2"/>
  <c r="H23" i="2"/>
  <c r="I23" i="2"/>
  <c r="J23" i="2"/>
  <c r="K23" i="2"/>
  <c r="A7" i="2"/>
  <c r="B7" i="2"/>
  <c r="L7" i="2" s="1"/>
  <c r="C7" i="2"/>
  <c r="D7" i="2"/>
  <c r="E7" i="2"/>
  <c r="F7" i="2"/>
  <c r="G7" i="2"/>
  <c r="H7" i="2"/>
  <c r="I7" i="2"/>
  <c r="J7" i="2"/>
  <c r="K7" i="2"/>
  <c r="A25" i="2"/>
  <c r="B25" i="2"/>
  <c r="C25" i="2"/>
  <c r="D25" i="2"/>
  <c r="E25" i="2"/>
  <c r="F25" i="2"/>
  <c r="G25" i="2"/>
  <c r="H25" i="2"/>
  <c r="I25" i="2"/>
  <c r="J25" i="2"/>
  <c r="K25" i="2"/>
  <c r="A26" i="2"/>
  <c r="B26" i="2"/>
  <c r="C26" i="2"/>
  <c r="D26" i="2"/>
  <c r="E26" i="2"/>
  <c r="F26" i="2"/>
  <c r="G26" i="2"/>
  <c r="H26" i="2"/>
  <c r="I26" i="2"/>
  <c r="J26" i="2"/>
  <c r="K26" i="2"/>
  <c r="A27" i="2"/>
  <c r="B27" i="2"/>
  <c r="C27" i="2"/>
  <c r="D27" i="2"/>
  <c r="E27" i="2"/>
  <c r="F27" i="2"/>
  <c r="G27" i="2"/>
  <c r="H27" i="2"/>
  <c r="I27" i="2"/>
  <c r="J27" i="2"/>
  <c r="K27" i="2"/>
  <c r="A28" i="2"/>
  <c r="B28" i="2"/>
  <c r="C28" i="2"/>
  <c r="D28" i="2"/>
  <c r="E28" i="2"/>
  <c r="F28" i="2"/>
  <c r="G28" i="2"/>
  <c r="H28" i="2"/>
  <c r="I28" i="2"/>
  <c r="J28" i="2"/>
  <c r="K28" i="2"/>
  <c r="A29" i="2"/>
  <c r="B29" i="2"/>
  <c r="C29" i="2"/>
  <c r="D29" i="2"/>
  <c r="E29" i="2"/>
  <c r="F29" i="2"/>
  <c r="G29" i="2"/>
  <c r="H29" i="2"/>
  <c r="I29" i="2"/>
  <c r="J29" i="2"/>
  <c r="K29" i="2"/>
  <c r="A30" i="2"/>
  <c r="B30" i="2"/>
  <c r="C30" i="2"/>
  <c r="D30" i="2"/>
  <c r="E30" i="2"/>
  <c r="F30" i="2"/>
  <c r="G30" i="2"/>
  <c r="H30" i="2"/>
  <c r="I30" i="2"/>
  <c r="J30" i="2"/>
  <c r="K30" i="2"/>
  <c r="A31" i="2"/>
  <c r="B31" i="2"/>
  <c r="C31" i="2"/>
  <c r="D31" i="2"/>
  <c r="E31" i="2"/>
  <c r="F31" i="2"/>
  <c r="G31" i="2"/>
  <c r="H31" i="2"/>
  <c r="I31" i="2"/>
  <c r="J31" i="2"/>
  <c r="K31" i="2"/>
  <c r="A32" i="2"/>
  <c r="B32" i="2"/>
  <c r="C32" i="2"/>
  <c r="D32" i="2"/>
  <c r="E32" i="2"/>
  <c r="F32" i="2"/>
  <c r="G32" i="2"/>
  <c r="H32" i="2"/>
  <c r="I32" i="2"/>
  <c r="J32" i="2"/>
  <c r="K32" i="2"/>
  <c r="A33" i="2"/>
  <c r="B33" i="2"/>
  <c r="C33" i="2"/>
  <c r="D33" i="2"/>
  <c r="E33" i="2"/>
  <c r="F33" i="2"/>
  <c r="G33" i="2"/>
  <c r="H33" i="2"/>
  <c r="I33" i="2"/>
  <c r="J33" i="2"/>
  <c r="K33" i="2"/>
  <c r="A34" i="2"/>
  <c r="B34" i="2"/>
  <c r="C34" i="2"/>
  <c r="D34" i="2"/>
  <c r="E34" i="2"/>
  <c r="F34" i="2"/>
  <c r="G34" i="2"/>
  <c r="H34" i="2"/>
  <c r="I34" i="2"/>
  <c r="J34" i="2"/>
  <c r="K34" i="2"/>
  <c r="A35" i="2"/>
  <c r="B35" i="2"/>
  <c r="C35" i="2"/>
  <c r="D35" i="2"/>
  <c r="E35" i="2"/>
  <c r="F35" i="2"/>
  <c r="G35" i="2"/>
  <c r="H35" i="2"/>
  <c r="I35" i="2"/>
  <c r="J35" i="2"/>
  <c r="K35" i="2"/>
  <c r="A36" i="2"/>
  <c r="B36" i="2"/>
  <c r="C36" i="2"/>
  <c r="D36" i="2"/>
  <c r="E36" i="2"/>
  <c r="F36" i="2"/>
  <c r="G36" i="2"/>
  <c r="H36" i="2"/>
  <c r="I36" i="2"/>
  <c r="J36" i="2"/>
  <c r="K36" i="2"/>
  <c r="A24" i="2"/>
  <c r="B24" i="2"/>
  <c r="N24" i="2" s="1"/>
  <c r="C24" i="2"/>
  <c r="D24" i="2"/>
  <c r="E24" i="2"/>
  <c r="F24" i="2"/>
  <c r="G24" i="2"/>
  <c r="H24" i="2"/>
  <c r="I24" i="2"/>
  <c r="J24" i="2"/>
  <c r="K24" i="2"/>
  <c r="A106" i="2"/>
  <c r="B106" i="2"/>
  <c r="N106" i="2" s="1"/>
  <c r="C106" i="2"/>
  <c r="D106" i="2"/>
  <c r="E106" i="2"/>
  <c r="F106" i="2"/>
  <c r="G106" i="2"/>
  <c r="H106" i="2"/>
  <c r="I106" i="2"/>
  <c r="J106" i="2"/>
  <c r="K106" i="2"/>
  <c r="A39" i="2"/>
  <c r="B39" i="2"/>
  <c r="C39" i="2"/>
  <c r="D39" i="2"/>
  <c r="E39" i="2"/>
  <c r="F39" i="2"/>
  <c r="G39" i="2"/>
  <c r="H39" i="2"/>
  <c r="I39" i="2"/>
  <c r="J39" i="2"/>
  <c r="K39" i="2"/>
  <c r="A40" i="2"/>
  <c r="B40" i="2"/>
  <c r="C40" i="2"/>
  <c r="D40" i="2"/>
  <c r="E40" i="2"/>
  <c r="F40" i="2"/>
  <c r="G40" i="2"/>
  <c r="H40" i="2"/>
  <c r="I40" i="2"/>
  <c r="J40" i="2"/>
  <c r="K40" i="2"/>
  <c r="A41" i="2"/>
  <c r="B41" i="2"/>
  <c r="C41" i="2"/>
  <c r="D41" i="2"/>
  <c r="E41" i="2"/>
  <c r="F41" i="2"/>
  <c r="G41" i="2"/>
  <c r="H41" i="2"/>
  <c r="I41" i="2"/>
  <c r="J41" i="2"/>
  <c r="K41" i="2"/>
  <c r="A42" i="2"/>
  <c r="B42" i="2"/>
  <c r="N42" i="2" s="1"/>
  <c r="C42" i="2"/>
  <c r="D42" i="2"/>
  <c r="E42" i="2"/>
  <c r="F42" i="2"/>
  <c r="G42" i="2"/>
  <c r="H42" i="2"/>
  <c r="I42" i="2"/>
  <c r="J42" i="2"/>
  <c r="K42" i="2"/>
  <c r="A43" i="2"/>
  <c r="B43" i="2"/>
  <c r="C43" i="2"/>
  <c r="D43" i="2"/>
  <c r="E43" i="2"/>
  <c r="F43" i="2"/>
  <c r="G43" i="2"/>
  <c r="H43" i="2"/>
  <c r="I43" i="2"/>
  <c r="J43" i="2"/>
  <c r="K43" i="2"/>
  <c r="A44" i="2"/>
  <c r="B44" i="2"/>
  <c r="C44" i="2"/>
  <c r="D44" i="2"/>
  <c r="E44" i="2"/>
  <c r="F44" i="2"/>
  <c r="G44" i="2"/>
  <c r="H44" i="2"/>
  <c r="I44" i="2"/>
  <c r="J44" i="2"/>
  <c r="K44" i="2"/>
  <c r="A113" i="2"/>
  <c r="B113" i="2"/>
  <c r="L113" i="2" s="1"/>
  <c r="C113" i="2"/>
  <c r="D113" i="2"/>
  <c r="E113" i="2"/>
  <c r="F113" i="2"/>
  <c r="G113" i="2"/>
  <c r="H113" i="2"/>
  <c r="I113" i="2"/>
  <c r="J113" i="2"/>
  <c r="K113" i="2"/>
  <c r="A46" i="2"/>
  <c r="B46" i="2"/>
  <c r="C46" i="2"/>
  <c r="D46" i="2"/>
  <c r="E46" i="2"/>
  <c r="F46" i="2"/>
  <c r="G46" i="2"/>
  <c r="H46" i="2"/>
  <c r="I46" i="2"/>
  <c r="J46" i="2"/>
  <c r="K46" i="2"/>
  <c r="A75" i="2"/>
  <c r="B75" i="2"/>
  <c r="N75" i="2" s="1"/>
  <c r="C75" i="2"/>
  <c r="D75" i="2"/>
  <c r="E75" i="2"/>
  <c r="F75" i="2"/>
  <c r="G75" i="2"/>
  <c r="H75" i="2"/>
  <c r="I75" i="2"/>
  <c r="J75" i="2"/>
  <c r="K75" i="2"/>
  <c r="A37" i="2"/>
  <c r="B37" i="2"/>
  <c r="M37" i="2" s="1"/>
  <c r="C37" i="2"/>
  <c r="D37" i="2"/>
  <c r="E37" i="2"/>
  <c r="F37" i="2"/>
  <c r="G37" i="2"/>
  <c r="H37" i="2"/>
  <c r="I37" i="2"/>
  <c r="J37" i="2"/>
  <c r="K37" i="2"/>
  <c r="A49" i="2"/>
  <c r="B49" i="2"/>
  <c r="C49" i="2"/>
  <c r="D49" i="2"/>
  <c r="E49" i="2"/>
  <c r="F49" i="2"/>
  <c r="G49" i="2"/>
  <c r="H49" i="2"/>
  <c r="I49" i="2"/>
  <c r="J49" i="2"/>
  <c r="K49" i="2"/>
  <c r="A50" i="2"/>
  <c r="B50" i="2"/>
  <c r="C50" i="2"/>
  <c r="D50" i="2"/>
  <c r="E50" i="2"/>
  <c r="F50" i="2"/>
  <c r="G50" i="2"/>
  <c r="H50" i="2"/>
  <c r="I50" i="2"/>
  <c r="J50" i="2"/>
  <c r="K50" i="2"/>
  <c r="A76" i="2"/>
  <c r="B76" i="2"/>
  <c r="N76" i="2" s="1"/>
  <c r="C76" i="2"/>
  <c r="D76" i="2"/>
  <c r="E76" i="2"/>
  <c r="F76" i="2"/>
  <c r="G76" i="2"/>
  <c r="H76" i="2"/>
  <c r="I76" i="2"/>
  <c r="J76" i="2"/>
  <c r="K76" i="2"/>
  <c r="A54" i="2"/>
  <c r="B54" i="2"/>
  <c r="L54" i="2" s="1"/>
  <c r="C54" i="2"/>
  <c r="D54" i="2"/>
  <c r="E54" i="2"/>
  <c r="F54" i="2"/>
  <c r="G54" i="2"/>
  <c r="H54" i="2"/>
  <c r="I54" i="2"/>
  <c r="J54" i="2"/>
  <c r="K54" i="2"/>
  <c r="A51" i="2"/>
  <c r="B51" i="2"/>
  <c r="M51" i="2" s="1"/>
  <c r="C51" i="2"/>
  <c r="D51" i="2"/>
  <c r="E51" i="2"/>
  <c r="F51" i="2"/>
  <c r="G51" i="2"/>
  <c r="H51" i="2"/>
  <c r="I51" i="2"/>
  <c r="J51" i="2"/>
  <c r="K51" i="2"/>
  <c r="A78" i="2"/>
  <c r="B78" i="2"/>
  <c r="N78" i="2" s="1"/>
  <c r="C78" i="2"/>
  <c r="D78" i="2"/>
  <c r="E78" i="2"/>
  <c r="F78" i="2"/>
  <c r="G78" i="2"/>
  <c r="H78" i="2"/>
  <c r="I78" i="2"/>
  <c r="J78" i="2"/>
  <c r="K78" i="2"/>
  <c r="A47" i="2"/>
  <c r="B47" i="2"/>
  <c r="N47" i="2" s="1"/>
  <c r="C47" i="2"/>
  <c r="D47" i="2"/>
  <c r="E47" i="2"/>
  <c r="F47" i="2"/>
  <c r="G47" i="2"/>
  <c r="H47" i="2"/>
  <c r="I47" i="2"/>
  <c r="J47" i="2"/>
  <c r="K47" i="2"/>
  <c r="A74" i="2"/>
  <c r="B74" i="2"/>
  <c r="M74" i="2" s="1"/>
  <c r="C74" i="2"/>
  <c r="D74" i="2"/>
  <c r="E74" i="2"/>
  <c r="F74" i="2"/>
  <c r="G74" i="2"/>
  <c r="H74" i="2"/>
  <c r="I74" i="2"/>
  <c r="J74" i="2"/>
  <c r="K74" i="2"/>
  <c r="A10" i="2"/>
  <c r="B10" i="2"/>
  <c r="N10" i="2" s="1"/>
  <c r="C10" i="2"/>
  <c r="D10" i="2"/>
  <c r="E10" i="2"/>
  <c r="F10" i="2"/>
  <c r="G10" i="2"/>
  <c r="H10" i="2"/>
  <c r="I10" i="2"/>
  <c r="J10" i="2"/>
  <c r="K10" i="2"/>
  <c r="A58" i="2"/>
  <c r="B58" i="2"/>
  <c r="C58" i="2"/>
  <c r="D58" i="2"/>
  <c r="E58" i="2"/>
  <c r="F58" i="2"/>
  <c r="G58" i="2"/>
  <c r="H58" i="2"/>
  <c r="I58" i="2"/>
  <c r="J58" i="2"/>
  <c r="K58" i="2"/>
  <c r="A59" i="2"/>
  <c r="B59" i="2"/>
  <c r="C59" i="2"/>
  <c r="D59" i="2"/>
  <c r="E59" i="2"/>
  <c r="F59" i="2"/>
  <c r="G59" i="2"/>
  <c r="H59" i="2"/>
  <c r="I59" i="2"/>
  <c r="J59" i="2"/>
  <c r="K59" i="2"/>
  <c r="A60" i="2"/>
  <c r="B60" i="2"/>
  <c r="C60" i="2"/>
  <c r="D60" i="2"/>
  <c r="E60" i="2"/>
  <c r="F60" i="2"/>
  <c r="G60" i="2"/>
  <c r="H60" i="2"/>
  <c r="I60" i="2"/>
  <c r="J60" i="2"/>
  <c r="K60" i="2"/>
  <c r="A61" i="2"/>
  <c r="B61" i="2"/>
  <c r="C61" i="2"/>
  <c r="D61" i="2"/>
  <c r="E61" i="2"/>
  <c r="F61" i="2"/>
  <c r="G61" i="2"/>
  <c r="H61" i="2"/>
  <c r="I61" i="2"/>
  <c r="J61" i="2"/>
  <c r="K61" i="2"/>
  <c r="A62" i="2"/>
  <c r="B62" i="2"/>
  <c r="C62" i="2"/>
  <c r="D62" i="2"/>
  <c r="E62" i="2"/>
  <c r="F62" i="2"/>
  <c r="G62" i="2"/>
  <c r="H62" i="2"/>
  <c r="I62" i="2"/>
  <c r="J62" i="2"/>
  <c r="K62" i="2"/>
  <c r="A13" i="2"/>
  <c r="B13" i="2"/>
  <c r="M13" i="2" s="1"/>
  <c r="C13" i="2"/>
  <c r="D13" i="2"/>
  <c r="E13" i="2"/>
  <c r="F13" i="2"/>
  <c r="G13" i="2"/>
  <c r="H13" i="2"/>
  <c r="I13" i="2"/>
  <c r="J13" i="2"/>
  <c r="K13" i="2"/>
  <c r="A64" i="2"/>
  <c r="B64" i="2"/>
  <c r="C64" i="2"/>
  <c r="D64" i="2"/>
  <c r="E64" i="2"/>
  <c r="F64" i="2"/>
  <c r="G64" i="2"/>
  <c r="H64" i="2"/>
  <c r="I64" i="2"/>
  <c r="J64" i="2"/>
  <c r="K64" i="2"/>
  <c r="A65" i="2"/>
  <c r="B65" i="2"/>
  <c r="C65" i="2"/>
  <c r="D65" i="2"/>
  <c r="E65" i="2"/>
  <c r="F65" i="2"/>
  <c r="G65" i="2"/>
  <c r="H65" i="2"/>
  <c r="I65" i="2"/>
  <c r="J65" i="2"/>
  <c r="K65" i="2"/>
  <c r="A66" i="2"/>
  <c r="B66" i="2"/>
  <c r="C66" i="2"/>
  <c r="D66" i="2"/>
  <c r="E66" i="2"/>
  <c r="F66" i="2"/>
  <c r="G66" i="2"/>
  <c r="H66" i="2"/>
  <c r="I66" i="2"/>
  <c r="J66" i="2"/>
  <c r="K66" i="2"/>
  <c r="A67" i="2"/>
  <c r="B67" i="2"/>
  <c r="C67" i="2"/>
  <c r="D67" i="2"/>
  <c r="E67" i="2"/>
  <c r="F67" i="2"/>
  <c r="G67" i="2"/>
  <c r="H67" i="2"/>
  <c r="I67" i="2"/>
  <c r="J67" i="2"/>
  <c r="K67" i="2"/>
  <c r="A68" i="2"/>
  <c r="B68" i="2"/>
  <c r="C68" i="2"/>
  <c r="D68" i="2"/>
  <c r="E68" i="2"/>
  <c r="F68" i="2"/>
  <c r="G68" i="2"/>
  <c r="H68" i="2"/>
  <c r="I68" i="2"/>
  <c r="J68" i="2"/>
  <c r="K68" i="2"/>
  <c r="A69" i="2"/>
  <c r="B69" i="2"/>
  <c r="C69" i="2"/>
  <c r="D69" i="2"/>
  <c r="E69" i="2"/>
  <c r="F69" i="2"/>
  <c r="G69" i="2"/>
  <c r="H69" i="2"/>
  <c r="I69" i="2"/>
  <c r="J69" i="2"/>
  <c r="K69" i="2"/>
  <c r="A70" i="2"/>
  <c r="B70" i="2"/>
  <c r="C70" i="2"/>
  <c r="D70" i="2"/>
  <c r="E70" i="2"/>
  <c r="F70" i="2"/>
  <c r="G70" i="2"/>
  <c r="H70" i="2"/>
  <c r="I70" i="2"/>
  <c r="J70" i="2"/>
  <c r="K70" i="2"/>
  <c r="A71" i="2"/>
  <c r="B71" i="2"/>
  <c r="C71" i="2"/>
  <c r="D71" i="2"/>
  <c r="E71" i="2"/>
  <c r="F71" i="2"/>
  <c r="G71" i="2"/>
  <c r="H71" i="2"/>
  <c r="I71" i="2"/>
  <c r="J71" i="2"/>
  <c r="K71" i="2"/>
  <c r="A72" i="2"/>
  <c r="B72" i="2"/>
  <c r="C72" i="2"/>
  <c r="D72" i="2"/>
  <c r="E72" i="2"/>
  <c r="F72" i="2"/>
  <c r="G72" i="2"/>
  <c r="H72" i="2"/>
  <c r="I72" i="2"/>
  <c r="J72" i="2"/>
  <c r="K72" i="2"/>
  <c r="A73" i="2"/>
  <c r="B73" i="2"/>
  <c r="C73" i="2"/>
  <c r="D73" i="2"/>
  <c r="E73" i="2"/>
  <c r="F73" i="2"/>
  <c r="G73" i="2"/>
  <c r="H73" i="2"/>
  <c r="I73" i="2"/>
  <c r="J73" i="2"/>
  <c r="K73" i="2"/>
  <c r="A38" i="2"/>
  <c r="B38" i="2"/>
  <c r="N38" i="2" s="1"/>
  <c r="C38" i="2"/>
  <c r="D38" i="2"/>
  <c r="E38" i="2"/>
  <c r="F38" i="2"/>
  <c r="G38" i="2"/>
  <c r="H38" i="2"/>
  <c r="I38" i="2"/>
  <c r="J38" i="2"/>
  <c r="K38" i="2"/>
  <c r="A48" i="2"/>
  <c r="B48" i="2"/>
  <c r="N48" i="2" s="1"/>
  <c r="C48" i="2"/>
  <c r="D48" i="2"/>
  <c r="E48" i="2"/>
  <c r="F48" i="2"/>
  <c r="G48" i="2"/>
  <c r="H48" i="2"/>
  <c r="I48" i="2"/>
  <c r="J48" i="2"/>
  <c r="K48" i="2"/>
  <c r="A55" i="2"/>
  <c r="B55" i="2"/>
  <c r="N55" i="2" s="1"/>
  <c r="C55" i="2"/>
  <c r="D55" i="2"/>
  <c r="E55" i="2"/>
  <c r="F55" i="2"/>
  <c r="G55" i="2"/>
  <c r="H55" i="2"/>
  <c r="I55" i="2"/>
  <c r="J55" i="2"/>
  <c r="K55" i="2"/>
  <c r="A77" i="2"/>
  <c r="B77" i="2"/>
  <c r="C77" i="2"/>
  <c r="D77" i="2"/>
  <c r="E77" i="2"/>
  <c r="F77" i="2"/>
  <c r="G77" i="2"/>
  <c r="H77" i="2"/>
  <c r="I77" i="2"/>
  <c r="J77" i="2"/>
  <c r="K77" i="2"/>
  <c r="A3" i="2"/>
  <c r="B3" i="2"/>
  <c r="N3" i="2" s="1"/>
  <c r="C3" i="2"/>
  <c r="D3" i="2"/>
  <c r="E3" i="2"/>
  <c r="F3" i="2"/>
  <c r="G3" i="2"/>
  <c r="H3" i="2"/>
  <c r="I3" i="2"/>
  <c r="J3" i="2"/>
  <c r="K3" i="2"/>
  <c r="A79" i="2"/>
  <c r="B79" i="2"/>
  <c r="C79" i="2"/>
  <c r="D79" i="2"/>
  <c r="E79" i="2"/>
  <c r="F79" i="2"/>
  <c r="G79" i="2"/>
  <c r="H79" i="2"/>
  <c r="I79" i="2"/>
  <c r="J79" i="2"/>
  <c r="K79" i="2"/>
  <c r="A80" i="2"/>
  <c r="B80" i="2"/>
  <c r="C80" i="2"/>
  <c r="D80" i="2"/>
  <c r="E80" i="2"/>
  <c r="F80" i="2"/>
  <c r="G80" i="2"/>
  <c r="H80" i="2"/>
  <c r="I80" i="2"/>
  <c r="J80" i="2"/>
  <c r="K80" i="2"/>
  <c r="A81" i="2"/>
  <c r="B81" i="2"/>
  <c r="C81" i="2"/>
  <c r="D81" i="2"/>
  <c r="E81" i="2"/>
  <c r="F81" i="2"/>
  <c r="G81" i="2"/>
  <c r="H81" i="2"/>
  <c r="I81" i="2"/>
  <c r="J81" i="2"/>
  <c r="K81" i="2"/>
  <c r="A82" i="2"/>
  <c r="B82" i="2"/>
  <c r="C82" i="2"/>
  <c r="D82" i="2"/>
  <c r="E82" i="2"/>
  <c r="F82" i="2"/>
  <c r="G82" i="2"/>
  <c r="H82" i="2"/>
  <c r="I82" i="2"/>
  <c r="J82" i="2"/>
  <c r="K82" i="2"/>
  <c r="A83" i="2"/>
  <c r="B83" i="2"/>
  <c r="C83" i="2"/>
  <c r="D83" i="2"/>
  <c r="E83" i="2"/>
  <c r="F83" i="2"/>
  <c r="G83" i="2"/>
  <c r="H83" i="2"/>
  <c r="I83" i="2"/>
  <c r="J83" i="2"/>
  <c r="K83" i="2"/>
  <c r="A84" i="2"/>
  <c r="B84" i="2"/>
  <c r="C84" i="2"/>
  <c r="D84" i="2"/>
  <c r="E84" i="2"/>
  <c r="F84" i="2"/>
  <c r="G84" i="2"/>
  <c r="H84" i="2"/>
  <c r="I84" i="2"/>
  <c r="J84" i="2"/>
  <c r="K84" i="2"/>
  <c r="A85" i="2"/>
  <c r="B85" i="2"/>
  <c r="C85" i="2"/>
  <c r="D85" i="2"/>
  <c r="E85" i="2"/>
  <c r="F85" i="2"/>
  <c r="G85" i="2"/>
  <c r="H85" i="2"/>
  <c r="I85" i="2"/>
  <c r="J85" i="2"/>
  <c r="K85" i="2"/>
  <c r="A86" i="2"/>
  <c r="B86" i="2"/>
  <c r="C86" i="2"/>
  <c r="D86" i="2"/>
  <c r="E86" i="2"/>
  <c r="F86" i="2"/>
  <c r="G86" i="2"/>
  <c r="H86" i="2"/>
  <c r="I86" i="2"/>
  <c r="J86" i="2"/>
  <c r="K86" i="2"/>
  <c r="A87" i="2"/>
  <c r="B87" i="2"/>
  <c r="C87" i="2"/>
  <c r="D87" i="2"/>
  <c r="E87" i="2"/>
  <c r="F87" i="2"/>
  <c r="G87" i="2"/>
  <c r="H87" i="2"/>
  <c r="I87" i="2"/>
  <c r="J87" i="2"/>
  <c r="K87" i="2"/>
  <c r="A88" i="2"/>
  <c r="B88" i="2"/>
  <c r="C88" i="2"/>
  <c r="D88" i="2"/>
  <c r="E88" i="2"/>
  <c r="F88" i="2"/>
  <c r="G88" i="2"/>
  <c r="H88" i="2"/>
  <c r="I88" i="2"/>
  <c r="J88" i="2"/>
  <c r="K88" i="2"/>
  <c r="A133" i="2"/>
  <c r="B133" i="2"/>
  <c r="N133" i="2" s="1"/>
  <c r="C133" i="2"/>
  <c r="D133" i="2"/>
  <c r="E133" i="2"/>
  <c r="F133" i="2"/>
  <c r="G133" i="2"/>
  <c r="H133" i="2"/>
  <c r="I133" i="2"/>
  <c r="J133" i="2"/>
  <c r="K133" i="2"/>
  <c r="A90" i="2"/>
  <c r="B90" i="2"/>
  <c r="C90" i="2"/>
  <c r="D90" i="2"/>
  <c r="E90" i="2"/>
  <c r="F90" i="2"/>
  <c r="G90" i="2"/>
  <c r="H90" i="2"/>
  <c r="I90" i="2"/>
  <c r="J90" i="2"/>
  <c r="K90" i="2"/>
  <c r="A91" i="2"/>
  <c r="B91" i="2"/>
  <c r="C91" i="2"/>
  <c r="D91" i="2"/>
  <c r="E91" i="2"/>
  <c r="F91" i="2"/>
  <c r="G91" i="2"/>
  <c r="H91" i="2"/>
  <c r="I91" i="2"/>
  <c r="J91" i="2"/>
  <c r="K91" i="2"/>
  <c r="A92" i="2"/>
  <c r="B92" i="2"/>
  <c r="C92" i="2"/>
  <c r="D92" i="2"/>
  <c r="E92" i="2"/>
  <c r="F92" i="2"/>
  <c r="G92" i="2"/>
  <c r="H92" i="2"/>
  <c r="I92" i="2"/>
  <c r="J92" i="2"/>
  <c r="K92" i="2"/>
  <c r="A93" i="2"/>
  <c r="B93" i="2"/>
  <c r="C93" i="2"/>
  <c r="D93" i="2"/>
  <c r="E93" i="2"/>
  <c r="F93" i="2"/>
  <c r="G93" i="2"/>
  <c r="H93" i="2"/>
  <c r="I93" i="2"/>
  <c r="J93" i="2"/>
  <c r="K93" i="2"/>
  <c r="A94" i="2"/>
  <c r="B94" i="2"/>
  <c r="C94" i="2"/>
  <c r="D94" i="2"/>
  <c r="E94" i="2"/>
  <c r="F94" i="2"/>
  <c r="G94" i="2"/>
  <c r="H94" i="2"/>
  <c r="I94" i="2"/>
  <c r="J94" i="2"/>
  <c r="K94" i="2"/>
  <c r="A95" i="2"/>
  <c r="B95" i="2"/>
  <c r="C95" i="2"/>
  <c r="D95" i="2"/>
  <c r="E95" i="2"/>
  <c r="F95" i="2"/>
  <c r="G95" i="2"/>
  <c r="H95" i="2"/>
  <c r="I95" i="2"/>
  <c r="J95" i="2"/>
  <c r="K95" i="2"/>
  <c r="A96" i="2"/>
  <c r="B96" i="2"/>
  <c r="C96" i="2"/>
  <c r="D96" i="2"/>
  <c r="E96" i="2"/>
  <c r="F96" i="2"/>
  <c r="G96" i="2"/>
  <c r="H96" i="2"/>
  <c r="I96" i="2"/>
  <c r="J96" i="2"/>
  <c r="K96" i="2"/>
  <c r="A97" i="2"/>
  <c r="B97" i="2"/>
  <c r="C97" i="2"/>
  <c r="D97" i="2"/>
  <c r="E97" i="2"/>
  <c r="F97" i="2"/>
  <c r="G97" i="2"/>
  <c r="H97" i="2"/>
  <c r="I97" i="2"/>
  <c r="J97" i="2"/>
  <c r="K97" i="2"/>
  <c r="A98" i="2"/>
  <c r="B98" i="2"/>
  <c r="C98" i="2"/>
  <c r="D98" i="2"/>
  <c r="E98" i="2"/>
  <c r="F98" i="2"/>
  <c r="G98" i="2"/>
  <c r="H98" i="2"/>
  <c r="I98" i="2"/>
  <c r="J98" i="2"/>
  <c r="K98" i="2"/>
  <c r="A99" i="2"/>
  <c r="B99" i="2"/>
  <c r="C99" i="2"/>
  <c r="D99" i="2"/>
  <c r="E99" i="2"/>
  <c r="F99" i="2"/>
  <c r="G99" i="2"/>
  <c r="H99" i="2"/>
  <c r="I99" i="2"/>
  <c r="J99" i="2"/>
  <c r="K99" i="2"/>
  <c r="A100" i="2"/>
  <c r="B100" i="2"/>
  <c r="C100" i="2"/>
  <c r="D100" i="2"/>
  <c r="E100" i="2"/>
  <c r="F100" i="2"/>
  <c r="G100" i="2"/>
  <c r="H100" i="2"/>
  <c r="I100" i="2"/>
  <c r="J100" i="2"/>
  <c r="K100" i="2"/>
  <c r="A101" i="2"/>
  <c r="B101" i="2"/>
  <c r="C101" i="2"/>
  <c r="D101" i="2"/>
  <c r="E101" i="2"/>
  <c r="F101" i="2"/>
  <c r="G101" i="2"/>
  <c r="H101" i="2"/>
  <c r="I101" i="2"/>
  <c r="J101" i="2"/>
  <c r="K101" i="2"/>
  <c r="A102" i="2"/>
  <c r="B102" i="2"/>
  <c r="C102" i="2"/>
  <c r="D102" i="2"/>
  <c r="E102" i="2"/>
  <c r="F102" i="2"/>
  <c r="G102" i="2"/>
  <c r="H102" i="2"/>
  <c r="I102" i="2"/>
  <c r="J102" i="2"/>
  <c r="K102" i="2"/>
  <c r="A103" i="2"/>
  <c r="B103" i="2"/>
  <c r="C103" i="2"/>
  <c r="D103" i="2"/>
  <c r="E103" i="2"/>
  <c r="F103" i="2"/>
  <c r="G103" i="2"/>
  <c r="H103" i="2"/>
  <c r="I103" i="2"/>
  <c r="J103" i="2"/>
  <c r="K103" i="2"/>
  <c r="A104" i="2"/>
  <c r="B104" i="2"/>
  <c r="C104" i="2"/>
  <c r="D104" i="2"/>
  <c r="E104" i="2"/>
  <c r="F104" i="2"/>
  <c r="G104" i="2"/>
  <c r="H104" i="2"/>
  <c r="I104" i="2"/>
  <c r="J104" i="2"/>
  <c r="K104" i="2"/>
  <c r="A105" i="2"/>
  <c r="B105" i="2"/>
  <c r="C105" i="2"/>
  <c r="D105" i="2"/>
  <c r="E105" i="2"/>
  <c r="F105" i="2"/>
  <c r="G105" i="2"/>
  <c r="H105" i="2"/>
  <c r="I105" i="2"/>
  <c r="J105" i="2"/>
  <c r="K105" i="2"/>
  <c r="A53" i="2"/>
  <c r="B53" i="2"/>
  <c r="L53" i="2" s="1"/>
  <c r="C53" i="2"/>
  <c r="D53" i="2"/>
  <c r="E53" i="2"/>
  <c r="F53" i="2"/>
  <c r="G53" i="2"/>
  <c r="H53" i="2"/>
  <c r="I53" i="2"/>
  <c r="J53" i="2"/>
  <c r="K53" i="2"/>
  <c r="A126" i="2"/>
  <c r="B126" i="2"/>
  <c r="N126" i="2" s="1"/>
  <c r="C126" i="2"/>
  <c r="D126" i="2"/>
  <c r="E126" i="2"/>
  <c r="F126" i="2"/>
  <c r="G126" i="2"/>
  <c r="H126" i="2"/>
  <c r="I126" i="2"/>
  <c r="J126" i="2"/>
  <c r="K126" i="2"/>
  <c r="A108" i="2"/>
  <c r="B108" i="2"/>
  <c r="C108" i="2"/>
  <c r="D108" i="2"/>
  <c r="E108" i="2"/>
  <c r="F108" i="2"/>
  <c r="G108" i="2"/>
  <c r="H108" i="2"/>
  <c r="I108" i="2"/>
  <c r="J108" i="2"/>
  <c r="K108" i="2"/>
  <c r="A109" i="2"/>
  <c r="B109" i="2"/>
  <c r="C109" i="2"/>
  <c r="D109" i="2"/>
  <c r="E109" i="2"/>
  <c r="F109" i="2"/>
  <c r="G109" i="2"/>
  <c r="H109" i="2"/>
  <c r="I109" i="2"/>
  <c r="J109" i="2"/>
  <c r="K109" i="2"/>
  <c r="A110" i="2"/>
  <c r="B110" i="2"/>
  <c r="C110" i="2"/>
  <c r="D110" i="2"/>
  <c r="E110" i="2"/>
  <c r="F110" i="2"/>
  <c r="G110" i="2"/>
  <c r="H110" i="2"/>
  <c r="I110" i="2"/>
  <c r="J110" i="2"/>
  <c r="K110" i="2"/>
  <c r="A111" i="2"/>
  <c r="B111" i="2"/>
  <c r="C111" i="2"/>
  <c r="D111" i="2"/>
  <c r="E111" i="2"/>
  <c r="F111" i="2"/>
  <c r="G111" i="2"/>
  <c r="H111" i="2"/>
  <c r="I111" i="2"/>
  <c r="J111" i="2"/>
  <c r="K111" i="2"/>
  <c r="A112" i="2"/>
  <c r="B112" i="2"/>
  <c r="C112" i="2"/>
  <c r="D112" i="2"/>
  <c r="E112" i="2"/>
  <c r="F112" i="2"/>
  <c r="G112" i="2"/>
  <c r="H112" i="2"/>
  <c r="I112" i="2"/>
  <c r="J112" i="2"/>
  <c r="K112" i="2"/>
  <c r="A52" i="2"/>
  <c r="B52" i="2"/>
  <c r="N52" i="2" s="1"/>
  <c r="C52" i="2"/>
  <c r="D52" i="2"/>
  <c r="E52" i="2"/>
  <c r="F52" i="2"/>
  <c r="G52" i="2"/>
  <c r="H52" i="2"/>
  <c r="I52" i="2"/>
  <c r="J52" i="2"/>
  <c r="K52" i="2"/>
  <c r="A114" i="2"/>
  <c r="B114" i="2"/>
  <c r="C114" i="2"/>
  <c r="D114" i="2"/>
  <c r="E114" i="2"/>
  <c r="F114" i="2"/>
  <c r="G114" i="2"/>
  <c r="H114" i="2"/>
  <c r="I114" i="2"/>
  <c r="J114" i="2"/>
  <c r="K114" i="2"/>
  <c r="A115" i="2"/>
  <c r="B115" i="2"/>
  <c r="C115" i="2"/>
  <c r="D115" i="2"/>
  <c r="E115" i="2"/>
  <c r="F115" i="2"/>
  <c r="G115" i="2"/>
  <c r="H115" i="2"/>
  <c r="I115" i="2"/>
  <c r="J115" i="2"/>
  <c r="K115" i="2"/>
  <c r="A116" i="2"/>
  <c r="B116" i="2"/>
  <c r="C116" i="2"/>
  <c r="D116" i="2"/>
  <c r="E116" i="2"/>
  <c r="F116" i="2"/>
  <c r="G116" i="2"/>
  <c r="H116" i="2"/>
  <c r="I116" i="2"/>
  <c r="J116" i="2"/>
  <c r="K116" i="2"/>
  <c r="A117" i="2"/>
  <c r="B117" i="2"/>
  <c r="C117" i="2"/>
  <c r="D117" i="2"/>
  <c r="E117" i="2"/>
  <c r="F117" i="2"/>
  <c r="G117" i="2"/>
  <c r="H117" i="2"/>
  <c r="I117" i="2"/>
  <c r="J117" i="2"/>
  <c r="K117" i="2"/>
  <c r="A118" i="2"/>
  <c r="B118" i="2"/>
  <c r="C118" i="2"/>
  <c r="D118" i="2"/>
  <c r="E118" i="2"/>
  <c r="F118" i="2"/>
  <c r="G118" i="2"/>
  <c r="H118" i="2"/>
  <c r="I118" i="2"/>
  <c r="J118" i="2"/>
  <c r="K118" i="2"/>
  <c r="A119" i="2"/>
  <c r="B119" i="2"/>
  <c r="C119" i="2"/>
  <c r="D119" i="2"/>
  <c r="E119" i="2"/>
  <c r="F119" i="2"/>
  <c r="G119" i="2"/>
  <c r="H119" i="2"/>
  <c r="I119" i="2"/>
  <c r="J119" i="2"/>
  <c r="K119" i="2"/>
  <c r="A120" i="2"/>
  <c r="B120" i="2"/>
  <c r="C120" i="2"/>
  <c r="D120" i="2"/>
  <c r="E120" i="2"/>
  <c r="F120" i="2"/>
  <c r="G120" i="2"/>
  <c r="H120" i="2"/>
  <c r="I120" i="2"/>
  <c r="J120" i="2"/>
  <c r="K120" i="2"/>
  <c r="A121" i="2"/>
  <c r="B121" i="2"/>
  <c r="C121" i="2"/>
  <c r="D121" i="2"/>
  <c r="E121" i="2"/>
  <c r="F121" i="2"/>
  <c r="G121" i="2"/>
  <c r="H121" i="2"/>
  <c r="I121" i="2"/>
  <c r="J121" i="2"/>
  <c r="K121" i="2"/>
  <c r="A122" i="2"/>
  <c r="B122" i="2"/>
  <c r="C122" i="2"/>
  <c r="D122" i="2"/>
  <c r="E122" i="2"/>
  <c r="F122" i="2"/>
  <c r="G122" i="2"/>
  <c r="H122" i="2"/>
  <c r="I122" i="2"/>
  <c r="J122" i="2"/>
  <c r="K122" i="2"/>
  <c r="A123" i="2"/>
  <c r="B123" i="2"/>
  <c r="C123" i="2"/>
  <c r="D123" i="2"/>
  <c r="E123" i="2"/>
  <c r="F123" i="2"/>
  <c r="G123" i="2"/>
  <c r="H123" i="2"/>
  <c r="I123" i="2"/>
  <c r="J123" i="2"/>
  <c r="K123" i="2"/>
  <c r="A124" i="2"/>
  <c r="B124" i="2"/>
  <c r="C124" i="2"/>
  <c r="D124" i="2"/>
  <c r="E124" i="2"/>
  <c r="F124" i="2"/>
  <c r="G124" i="2"/>
  <c r="H124" i="2"/>
  <c r="I124" i="2"/>
  <c r="J124" i="2"/>
  <c r="K124" i="2"/>
  <c r="A125" i="2"/>
  <c r="B125" i="2"/>
  <c r="C125" i="2"/>
  <c r="D125" i="2"/>
  <c r="E125" i="2"/>
  <c r="F125" i="2"/>
  <c r="G125" i="2"/>
  <c r="H125" i="2"/>
  <c r="I125" i="2"/>
  <c r="J125" i="2"/>
  <c r="K125" i="2"/>
  <c r="A56" i="2"/>
  <c r="B56" i="2"/>
  <c r="M56" i="2" s="1"/>
  <c r="C56" i="2"/>
  <c r="D56" i="2"/>
  <c r="E56" i="2"/>
  <c r="F56" i="2"/>
  <c r="G56" i="2"/>
  <c r="H56" i="2"/>
  <c r="I56" i="2"/>
  <c r="J56" i="2"/>
  <c r="K56" i="2"/>
  <c r="A127" i="2"/>
  <c r="B127" i="2"/>
  <c r="C127" i="2"/>
  <c r="D127" i="2"/>
  <c r="E127" i="2"/>
  <c r="F127" i="2"/>
  <c r="G127" i="2"/>
  <c r="H127" i="2"/>
  <c r="I127" i="2"/>
  <c r="J127" i="2"/>
  <c r="K127" i="2"/>
  <c r="A128" i="2"/>
  <c r="B128" i="2"/>
  <c r="C128" i="2"/>
  <c r="D128" i="2"/>
  <c r="E128" i="2"/>
  <c r="F128" i="2"/>
  <c r="G128" i="2"/>
  <c r="H128" i="2"/>
  <c r="I128" i="2"/>
  <c r="J128" i="2"/>
  <c r="K128" i="2"/>
  <c r="A129" i="2"/>
  <c r="B129" i="2"/>
  <c r="C129" i="2"/>
  <c r="D129" i="2"/>
  <c r="E129" i="2"/>
  <c r="F129" i="2"/>
  <c r="G129" i="2"/>
  <c r="H129" i="2"/>
  <c r="I129" i="2"/>
  <c r="J129" i="2"/>
  <c r="K129" i="2"/>
  <c r="A130" i="2"/>
  <c r="B130" i="2"/>
  <c r="C130" i="2"/>
  <c r="D130" i="2"/>
  <c r="E130" i="2"/>
  <c r="F130" i="2"/>
  <c r="G130" i="2"/>
  <c r="H130" i="2"/>
  <c r="I130" i="2"/>
  <c r="J130" i="2"/>
  <c r="K130" i="2"/>
  <c r="A131" i="2"/>
  <c r="B131" i="2"/>
  <c r="C131" i="2"/>
  <c r="D131" i="2"/>
  <c r="E131" i="2"/>
  <c r="F131" i="2"/>
  <c r="G131" i="2"/>
  <c r="H131" i="2"/>
  <c r="I131" i="2"/>
  <c r="J131" i="2"/>
  <c r="K131" i="2"/>
  <c r="A132" i="2"/>
  <c r="B132" i="2"/>
  <c r="C132" i="2"/>
  <c r="D132" i="2"/>
  <c r="E132" i="2"/>
  <c r="F132" i="2"/>
  <c r="G132" i="2"/>
  <c r="H132" i="2"/>
  <c r="I132" i="2"/>
  <c r="J132" i="2"/>
  <c r="K132" i="2"/>
  <c r="A138" i="2"/>
  <c r="B138" i="2"/>
  <c r="N138" i="2" s="1"/>
  <c r="C138" i="2"/>
  <c r="D138" i="2"/>
  <c r="E138" i="2"/>
  <c r="F138" i="2"/>
  <c r="G138" i="2"/>
  <c r="H138" i="2"/>
  <c r="I138" i="2"/>
  <c r="J138" i="2"/>
  <c r="K138" i="2"/>
  <c r="A134" i="2"/>
  <c r="B134" i="2"/>
  <c r="C134" i="2"/>
  <c r="D134" i="2"/>
  <c r="E134" i="2"/>
  <c r="F134" i="2"/>
  <c r="G134" i="2"/>
  <c r="H134" i="2"/>
  <c r="I134" i="2"/>
  <c r="J134" i="2"/>
  <c r="K134" i="2"/>
  <c r="A135" i="2"/>
  <c r="B135" i="2"/>
  <c r="C135" i="2"/>
  <c r="D135" i="2"/>
  <c r="E135" i="2"/>
  <c r="F135" i="2"/>
  <c r="G135" i="2"/>
  <c r="H135" i="2"/>
  <c r="I135" i="2"/>
  <c r="J135" i="2"/>
  <c r="K135" i="2"/>
  <c r="A107" i="2"/>
  <c r="B107" i="2"/>
  <c r="L107" i="2" s="1"/>
  <c r="C107" i="2"/>
  <c r="D107" i="2"/>
  <c r="E107" i="2"/>
  <c r="F107" i="2"/>
  <c r="G107" i="2"/>
  <c r="H107" i="2"/>
  <c r="I107" i="2"/>
  <c r="J107" i="2"/>
  <c r="K107" i="2"/>
  <c r="A137" i="2"/>
  <c r="B137" i="2"/>
  <c r="C137" i="2"/>
  <c r="D137" i="2"/>
  <c r="E137" i="2"/>
  <c r="F137" i="2"/>
  <c r="G137" i="2"/>
  <c r="H137" i="2"/>
  <c r="I137" i="2"/>
  <c r="J137" i="2"/>
  <c r="K137" i="2"/>
  <c r="A63" i="2"/>
  <c r="B63" i="2"/>
  <c r="N63" i="2" s="1"/>
  <c r="C63" i="2"/>
  <c r="D63" i="2"/>
  <c r="E63" i="2"/>
  <c r="F63" i="2"/>
  <c r="G63" i="2"/>
  <c r="H63" i="2"/>
  <c r="I63" i="2"/>
  <c r="J63" i="2"/>
  <c r="K63" i="2"/>
  <c r="A139" i="2"/>
  <c r="B139" i="2"/>
  <c r="C139" i="2"/>
  <c r="D139" i="2"/>
  <c r="E139" i="2"/>
  <c r="F139" i="2"/>
  <c r="G139" i="2"/>
  <c r="H139" i="2"/>
  <c r="I139" i="2"/>
  <c r="J139" i="2"/>
  <c r="K139" i="2"/>
  <c r="A140" i="2"/>
  <c r="B140" i="2"/>
  <c r="C140" i="2"/>
  <c r="D140" i="2"/>
  <c r="E140" i="2"/>
  <c r="F140" i="2"/>
  <c r="G140" i="2"/>
  <c r="H140" i="2"/>
  <c r="I140" i="2"/>
  <c r="J140" i="2"/>
  <c r="K140" i="2"/>
  <c r="A141" i="2"/>
  <c r="B141" i="2"/>
  <c r="C141" i="2"/>
  <c r="D141" i="2"/>
  <c r="E141" i="2"/>
  <c r="F141" i="2"/>
  <c r="G141" i="2"/>
  <c r="H141" i="2"/>
  <c r="I141" i="2"/>
  <c r="J141" i="2"/>
  <c r="K141" i="2"/>
  <c r="A142" i="2"/>
  <c r="B142" i="2"/>
  <c r="C142" i="2"/>
  <c r="D142" i="2"/>
  <c r="E142" i="2"/>
  <c r="F142" i="2"/>
  <c r="G142" i="2"/>
  <c r="H142" i="2"/>
  <c r="I142" i="2"/>
  <c r="J142" i="2"/>
  <c r="K142" i="2"/>
  <c r="C2" i="1"/>
  <c r="M113" i="2" l="1"/>
  <c r="N51" i="2"/>
  <c r="L3" i="2"/>
  <c r="M3" i="2"/>
  <c r="N113" i="2"/>
  <c r="L13" i="2"/>
  <c r="L138" i="2"/>
  <c r="L47" i="2"/>
  <c r="M138" i="2"/>
  <c r="M47" i="2"/>
  <c r="L57" i="2"/>
  <c r="M8" i="2"/>
  <c r="M5" i="2"/>
  <c r="N8" i="2"/>
  <c r="L63" i="2"/>
  <c r="M63" i="2"/>
  <c r="L76" i="2"/>
  <c r="L78" i="2"/>
  <c r="M107" i="2"/>
  <c r="N107" i="2"/>
  <c r="L4" i="2"/>
  <c r="M53" i="2"/>
  <c r="M4" i="2"/>
  <c r="N5" i="2"/>
  <c r="N53" i="2"/>
  <c r="M57" i="2"/>
  <c r="L52" i="2"/>
  <c r="M42" i="2"/>
  <c r="N37" i="2"/>
  <c r="M75" i="2"/>
  <c r="M78" i="2"/>
  <c r="L55" i="2"/>
  <c r="L42" i="2"/>
  <c r="L37" i="2"/>
  <c r="N74" i="2"/>
  <c r="M52" i="2"/>
  <c r="L75" i="2"/>
  <c r="L10" i="2"/>
  <c r="L133" i="2"/>
  <c r="M10" i="2"/>
  <c r="L126" i="2"/>
  <c r="M55" i="2"/>
  <c r="M133" i="2"/>
  <c r="M126" i="2"/>
  <c r="L24" i="2"/>
  <c r="L56" i="2"/>
  <c r="M24" i="2"/>
  <c r="L48" i="2"/>
  <c r="N45" i="2"/>
  <c r="L12" i="2"/>
  <c r="N13" i="2"/>
  <c r="L38" i="2"/>
  <c r="M48" i="2"/>
  <c r="N56" i="2"/>
  <c r="M12" i="2"/>
  <c r="M38" i="2"/>
  <c r="L106" i="2"/>
  <c r="M54" i="2"/>
  <c r="L136" i="2"/>
  <c r="M89" i="2"/>
  <c r="L74" i="2"/>
  <c r="M106" i="2"/>
  <c r="L51" i="2"/>
  <c r="N54" i="2"/>
  <c r="M136" i="2"/>
  <c r="M76" i="2"/>
  <c r="L45" i="2"/>
  <c r="L89" i="2"/>
  <c r="N7" i="2"/>
  <c r="M7" i="2"/>
  <c r="O133" i="2" l="1"/>
  <c r="O37" i="2"/>
  <c r="O51" i="2"/>
  <c r="O113" i="2"/>
  <c r="O45" i="2"/>
  <c r="O75" i="2"/>
  <c r="O7" i="2"/>
  <c r="O38" i="2"/>
  <c r="O42" i="2"/>
  <c r="O55" i="2"/>
  <c r="O3" i="2"/>
  <c r="O8" i="2"/>
  <c r="O10" i="2"/>
  <c r="O5" i="2"/>
  <c r="O57" i="2"/>
  <c r="O12" i="2"/>
  <c r="O53" i="2"/>
  <c r="O56" i="2"/>
  <c r="O107" i="2"/>
  <c r="O4" i="2"/>
  <c r="O47" i="2"/>
  <c r="O48" i="2"/>
  <c r="O138" i="2"/>
  <c r="O74" i="2"/>
  <c r="O13" i="2"/>
  <c r="O136" i="2"/>
  <c r="O24" i="2"/>
  <c r="O78" i="2"/>
  <c r="O54" i="2"/>
  <c r="O76" i="2"/>
  <c r="O106" i="2"/>
  <c r="O63" i="2"/>
  <c r="O126" i="2"/>
  <c r="O52" i="2"/>
  <c r="O89" i="2"/>
</calcChain>
</file>

<file path=xl/sharedStrings.xml><?xml version="1.0" encoding="utf-8"?>
<sst xmlns="http://schemas.openxmlformats.org/spreadsheetml/2006/main" count="367" uniqueCount="156">
  <si>
    <t>vade</t>
  </si>
  <si>
    <t>fiyat</t>
  </si>
  <si>
    <t>kupon1</t>
  </si>
  <si>
    <t>tutar1</t>
  </si>
  <si>
    <t>kupon2</t>
  </si>
  <si>
    <t>tutar2</t>
  </si>
  <si>
    <t>kupon3</t>
  </si>
  <si>
    <t>tutar3</t>
  </si>
  <si>
    <t>hedef_vade</t>
  </si>
  <si>
    <t>repo</t>
  </si>
  <si>
    <t>tahvil</t>
  </si>
  <si>
    <t>bono</t>
  </si>
  <si>
    <t>isin</t>
  </si>
  <si>
    <t>val</t>
  </si>
  <si>
    <t>symbol</t>
  </si>
  <si>
    <t>avg</t>
  </si>
  <si>
    <t>avsp</t>
  </si>
  <si>
    <t>ai</t>
  </si>
  <si>
    <t>yr</t>
  </si>
  <si>
    <t>mnt</t>
  </si>
  <si>
    <t>day</t>
  </si>
  <si>
    <t>date</t>
  </si>
  <si>
    <t>16/12</t>
  </si>
  <si>
    <t>TRB110326T12</t>
  </si>
  <si>
    <t>TRB110326T12_KESN_T0</t>
  </si>
  <si>
    <t/>
  </si>
  <si>
    <t>13:49:36</t>
  </si>
  <si>
    <t>2026</t>
  </si>
  <si>
    <t>03</t>
  </si>
  <si>
    <t>11</t>
  </si>
  <si>
    <t>TRB170626T13</t>
  </si>
  <si>
    <t>TRB170626T13_KESN_T0</t>
  </si>
  <si>
    <t>13:58:30</t>
  </si>
  <si>
    <t>06</t>
  </si>
  <si>
    <t>17</t>
  </si>
  <si>
    <t>TRT010328T12</t>
  </si>
  <si>
    <t>TRT010328T12_KESN_T0</t>
  </si>
  <si>
    <t>11:00:55</t>
  </si>
  <si>
    <t>2028</t>
  </si>
  <si>
    <t>01</t>
  </si>
  <si>
    <t>TRT020926T17</t>
  </si>
  <si>
    <t>TRT020926T17_KESN_T0</t>
  </si>
  <si>
    <t>10:21:20</t>
  </si>
  <si>
    <t>09</t>
  </si>
  <si>
    <t>02</t>
  </si>
  <si>
    <t>TRT021030T18</t>
  </si>
  <si>
    <t>TRT021030T18_KESN_T0</t>
  </si>
  <si>
    <t>13:44:30</t>
  </si>
  <si>
    <t>2030</t>
  </si>
  <si>
    <t>10</t>
  </si>
  <si>
    <t>TRT030726T18</t>
  </si>
  <si>
    <t>TRT030726T18_KESN_T0</t>
  </si>
  <si>
    <t>13:51:54</t>
  </si>
  <si>
    <t>07</t>
  </si>
  <si>
    <t>TRT040729T14</t>
  </si>
  <si>
    <t>TRT040729T14_KESN_T0</t>
  </si>
  <si>
    <t>13:20:26</t>
  </si>
  <si>
    <t>2029</t>
  </si>
  <si>
    <t>04</t>
  </si>
  <si>
    <t>TRT050527T33</t>
  </si>
  <si>
    <t>TRT050527T33_KESN_T0</t>
  </si>
  <si>
    <t>13:41:17</t>
  </si>
  <si>
    <t>2027</t>
  </si>
  <si>
    <t>05</t>
  </si>
  <si>
    <t>TRT050935T13</t>
  </si>
  <si>
    <t>TRT050935T13_KESN_T0</t>
  </si>
  <si>
    <t>13:43:01</t>
  </si>
  <si>
    <t>2035</t>
  </si>
  <si>
    <t>TRT051033T12</t>
  </si>
  <si>
    <t>TRT051033T12_KESN_T0</t>
  </si>
  <si>
    <t>13:21:52</t>
  </si>
  <si>
    <t>2033</t>
  </si>
  <si>
    <t>TRT060928T11</t>
  </si>
  <si>
    <t>TRT060928T11_KESN_T0</t>
  </si>
  <si>
    <t>13:55:16</t>
  </si>
  <si>
    <t>TRT061228T16</t>
  </si>
  <si>
    <t>TRT061228T16_KESN_T0</t>
  </si>
  <si>
    <t>13:29:52</t>
  </si>
  <si>
    <t>12</t>
  </si>
  <si>
    <t>TRT070329T15</t>
  </si>
  <si>
    <t>TRT070329T15_KESN_T0</t>
  </si>
  <si>
    <t>13:57:45</t>
  </si>
  <si>
    <t>TRT080426T16</t>
  </si>
  <si>
    <t>TRT080426T16_KESN_T0</t>
  </si>
  <si>
    <t>13:41:35</t>
  </si>
  <si>
    <t>08</t>
  </si>
  <si>
    <t>TRT081128T15</t>
  </si>
  <si>
    <t>TRT081128T15_KESN_T0</t>
  </si>
  <si>
    <t>13:58:50</t>
  </si>
  <si>
    <t>TRT100227T13</t>
  </si>
  <si>
    <t>TRT100227T13_KESN_T0</t>
  </si>
  <si>
    <t>13:09:53</t>
  </si>
  <si>
    <t>TRT100730T13</t>
  </si>
  <si>
    <t>TRT100730T13_KESN_T0</t>
  </si>
  <si>
    <t>13:38:25</t>
  </si>
  <si>
    <t>TRT110226T13</t>
  </si>
  <si>
    <t>TRT110226T13_KESN_T0</t>
  </si>
  <si>
    <t>13:07:03</t>
  </si>
  <si>
    <t>TRT120626T18</t>
  </si>
  <si>
    <t>TRT120626T18_KESN_T0</t>
  </si>
  <si>
    <t>13:52:04</t>
  </si>
  <si>
    <t>TRT120826T16</t>
  </si>
  <si>
    <t>TRT120826T16_KESN_T0</t>
  </si>
  <si>
    <t>13:49:19</t>
  </si>
  <si>
    <t>TRT120929T12</t>
  </si>
  <si>
    <t>TRT120929T12_KESN_T0</t>
  </si>
  <si>
    <t>13:53:32</t>
  </si>
  <si>
    <t>TRT130629T14</t>
  </si>
  <si>
    <t>TRT130629T14_KESN_T0</t>
  </si>
  <si>
    <t>09:53:19</t>
  </si>
  <si>
    <t>13</t>
  </si>
  <si>
    <t>TRT130629T30</t>
  </si>
  <si>
    <t>TRT130629T30_KESN_T0</t>
  </si>
  <si>
    <t>13:31:18</t>
  </si>
  <si>
    <t>TRT130733T17</t>
  </si>
  <si>
    <t>TRT130733T17_KESN_T0</t>
  </si>
  <si>
    <t>13:34:09</t>
  </si>
  <si>
    <t>TRT131027T10</t>
  </si>
  <si>
    <t>TRT131027T10_KESN_T0</t>
  </si>
  <si>
    <t>13:37:00</t>
  </si>
  <si>
    <t>TRT131027T36</t>
  </si>
  <si>
    <t>TRT131027T36_KESN_T0</t>
  </si>
  <si>
    <t>13:24:25</t>
  </si>
  <si>
    <t>TRT140126T11</t>
  </si>
  <si>
    <t>TRT140126T11_KESN_T0</t>
  </si>
  <si>
    <t>10:49:04</t>
  </si>
  <si>
    <t>14</t>
  </si>
  <si>
    <t>TRT140727T14</t>
  </si>
  <si>
    <t>TRT140727T14_KESN_T0</t>
  </si>
  <si>
    <t>13:42:22</t>
  </si>
  <si>
    <t>TRT160627T13</t>
  </si>
  <si>
    <t>TRT160627T13_KESN_T0</t>
  </si>
  <si>
    <t>13:37:08</t>
  </si>
  <si>
    <t>16</t>
  </si>
  <si>
    <t>TRT170528T12</t>
  </si>
  <si>
    <t>TRT170528T12_KESN_T0</t>
  </si>
  <si>
    <t>13:36:06</t>
  </si>
  <si>
    <t>TRT180226T16</t>
  </si>
  <si>
    <t>TRT180226T16_KESN_T0</t>
  </si>
  <si>
    <t>13:48:42</t>
  </si>
  <si>
    <t>18</t>
  </si>
  <si>
    <t>TRT190128T14</t>
  </si>
  <si>
    <t>TRT190128T14_KESN_T0</t>
  </si>
  <si>
    <t>11:32:05</t>
  </si>
  <si>
    <t>19</t>
  </si>
  <si>
    <t>TRT190728T18</t>
  </si>
  <si>
    <t>TRT190728T18_KESN_T0</t>
  </si>
  <si>
    <t>13:35:53</t>
  </si>
  <si>
    <t>TRT190728T34</t>
  </si>
  <si>
    <t>TRT190728T34_KESN_T0</t>
  </si>
  <si>
    <t>12:01:55</t>
  </si>
  <si>
    <t>TRT270934T18</t>
  </si>
  <si>
    <t>TRT270934T18_KESN_T0</t>
  </si>
  <si>
    <t>13:42:52</t>
  </si>
  <si>
    <t>2034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</si>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</sst>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applyNumberForma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MTX" ddeTopic="DATA">
    <ddeItems>
      <ddeItem name="PAGE.2.1.1" advise="1">
        <values>
          <value t="str">
            <val>16/12</val>
          </value>
        </values>
      </ddeItem>
      <ddeItem name="PAGE.2.1.10" advise="1">
        <values>
          <value>
            <val>112.634</val>
          </value>
        </values>
      </ddeItem>
      <ddeItem name="PAGE.2.1.11" advise="1">
        <values>
          <value t="str">
            <val>TRD080927T34_KESN_T0</val>
          </value>
        </values>
      </ddeItem>
      <ddeItem name="PAGE.2.1.2" advise="1">
        <values>
          <value t="str">
            <val>TRD080927T34</val>
          </value>
        </values>
      </ddeItem>
      <ddeItem name="PAGE.2.1.3" advise="1">
        <values>
          <value>
            <val>101.175</val>
          </value>
        </values>
      </ddeItem>
      <ddeItem name="PAGE.2.1.4" advise="1">
        <values>
          <value t="str">
            <val/>
          </value>
        </values>
      </ddeItem>
      <ddeItem name="PAGE.2.1.5" advise="1">
        <values>
          <value t="str">
            <val/>
          </value>
        </values>
      </ddeItem>
      <ddeItem name="PAGE.2.1.6" advise="1">
        <values>
          <value>
            <val>100000</val>
          </value>
        </values>
      </ddeItem>
      <ddeItem name="PAGE.2.1.7" advise="1">
        <values>
          <value t="str">
            <val>13:07:47</val>
          </value>
        </values>
      </ddeItem>
      <ddeItem name="PAGE.2.1.8" advise="1">
        <values>
          <value>
            <val>112633.79</val>
          </value>
        </values>
      </ddeItem>
      <ddeItem name="PAGE.2.1.9" advise="1">
        <values>
          <value>
            <val>11.458791208999999</val>
          </value>
        </values>
      </ddeItem>
      <ddeItem name="PAGE.2.10.1" advise="1">
        <values>
          <value t="str">
            <val>17/12</val>
          </value>
        </values>
      </ddeItem>
      <ddeItem name="PAGE.2.10.10" advise="1">
        <values>
          <value t="str">
            <val/>
          </value>
        </values>
      </ddeItem>
      <ddeItem name="PAGE.2.10.11" advise="1">
        <values>
          <value t="str">
            <val>TRD061027T33_KESN_T1</val>
          </value>
        </values>
      </ddeItem>
      <ddeItem name="PAGE.2.10.2" advise="1">
        <values>
          <value t="str">
            <val>TRD061027T33</val>
          </value>
        </values>
      </ddeItem>
      <ddeItem name="PAGE.2.10.3" advise="1">
        <values>
          <value t="str">
            <val/>
          </value>
        </values>
      </ddeItem>
      <ddeItem name="PAGE.2.10.4" advise="1">
        <values>
          <value t="str">
            <val/>
          </value>
        </values>
      </ddeItem>
      <ddeItem name="PAGE.2.10.5" advise="1">
        <values>
          <value t="str">
            <val/>
          </value>
        </values>
      </ddeItem>
      <ddeItem name="PAGE.2.10.6" advise="1">
        <values>
          <value t="str">
            <val/>
          </value>
        </values>
      </ddeItem>
      <ddeItem name="PAGE.2.10.7" advise="1">
        <values>
          <value t="str">
            <val>11:49:59</val>
          </value>
        </values>
      </ddeItem>
      <ddeItem name="PAGE.2.10.8" advise="1">
        <values>
          <value t="str">
            <val/>
          </value>
        </values>
      </ddeItem>
      <ddeItem name="PAGE.2.10.9" advise="1">
        <values>
          <value>
            <val>7.692307692</val>
          </value>
        </values>
      </ddeItem>
      <ddeItem name="PAGE.2.100.1" advise="1">
        <values>
          <value t="str">
            <val>16/12</val>
          </value>
        </values>
      </ddeItem>
      <ddeItem name="PAGE.2.100.10" advise="1">
        <values>
          <value t="str">
            <val/>
          </value>
        </values>
      </ddeItem>
      <ddeItem name="PAGE.2.100.11" advise="1">
        <values>
          <value t="str">
            <val>TRFQFNS32611_KESN_T0</val>
          </value>
        </values>
      </ddeItem>
      <ddeItem name="PAGE.2.100.2" advise="1">
        <values>
          <value t="str">
            <val>TRFQFNS32611</val>
          </value>
        </values>
      </ddeItem>
      <ddeItem name="PAGE.2.100.3" advise="1">
        <values>
          <value t="str">
            <val/>
          </value>
        </values>
      </ddeItem>
      <ddeItem name="PAGE.2.100.4" advise="1">
        <values>
          <value t="str">
            <val/>
          </value>
        </values>
      </ddeItem>
      <ddeItem name="PAGE.2.100.5" advise="1">
        <values>
          <value t="str">
            <val/>
          </value>
        </values>
      </ddeItem>
      <ddeItem name="PAGE.2.100.6" advise="1">
        <values>
          <value t="str">
            <val/>
          </value>
        </values>
      </ddeItem>
      <ddeItem name="PAGE.2.100.7" advise="1">
        <values>
          <value t="str">
            <val>10:38:51</val>
          </value>
        </values>
      </ddeItem>
      <ddeItem name="PAGE.2.100.8" advise="1">
        <values>
          <value t="str">
            <val/>
          </value>
        </values>
      </ddeItem>
      <ddeItem name="PAGE.2.100.9" advise="1">
        <values>
          <value t="str">
            <val/>
          </value>
        </values>
      </ddeItem>
      <ddeItem name="PAGE.2.101.1" advise="1">
        <values>
          <value t="str">
            <val>16/12</val>
          </value>
        </values>
      </ddeItem>
      <ddeItem name="PAGE.2.101.10" advise="1">
        <values>
          <value t="str">
            <val/>
          </value>
        </values>
      </ddeItem>
      <ddeItem name="PAGE.2.101.11" advise="1">
        <values>
          <value t="str">
            <val>TRFQFNS52619_KESN_T0</val>
          </value>
        </values>
      </ddeItem>
      <ddeItem name="PAGE.2.101.2" advise="1">
        <values>
          <value t="str">
            <val>TRFQFNS52619</val>
          </value>
        </values>
      </ddeItem>
      <ddeItem name="PAGE.2.101.3" advise="1">
        <values>
          <value t="str">
            <val/>
          </value>
        </values>
      </ddeItem>
      <ddeItem name="PAGE.2.101.4" advise="1">
        <values>
          <value t="str">
            <val/>
          </value>
        </values>
      </ddeItem>
      <ddeItem name="PAGE.2.101.5" advise="1">
        <values>
          <value t="str">
            <val/>
          </value>
        </values>
      </ddeItem>
      <ddeItem name="PAGE.2.101.6" advise="1">
        <values>
          <value t="str">
            <val/>
          </value>
        </values>
      </ddeItem>
      <ddeItem name="PAGE.2.101.7" advise="1">
        <values>
          <value t="str">
            <val>10:40:03</val>
          </value>
        </values>
      </ddeItem>
      <ddeItem name="PAGE.2.101.8" advise="1">
        <values>
          <value t="str">
            <val/>
          </value>
        </values>
      </ddeItem>
      <ddeItem name="PAGE.2.101.9" advise="1">
        <values>
          <value t="str">
            <val/>
          </value>
        </values>
      </ddeItem>
      <ddeItem name="PAGE.2.102.1" advise="1">
        <values>
          <value t="str">
            <val>16/12</val>
          </value>
        </values>
      </ddeItem>
      <ddeItem name="PAGE.2.102.10" advise="1">
        <values>
          <value t="str">
            <val/>
          </value>
        </values>
      </ddeItem>
      <ddeItem name="PAGE.2.102.11" advise="1">
        <values>
          <value t="str">
            <val>TRFGZNM82618_KESN_T0</val>
          </value>
        </values>
      </ddeItem>
      <ddeItem name="PAGE.2.102.2" advise="1">
        <values>
          <value t="str">
            <val>TRFGZNM82618</val>
          </value>
        </values>
      </ddeItem>
      <ddeItem name="PAGE.2.102.3" advise="1">
        <values>
          <value t="str">
            <val/>
          </value>
        </values>
      </ddeItem>
      <ddeItem name="PAGE.2.102.4" advise="1">
        <values>
          <value t="str">
            <val/>
          </value>
        </values>
      </ddeItem>
      <ddeItem name="PAGE.2.102.5" advise="1">
        <values>
          <value t="str">
            <val/>
          </value>
        </values>
      </ddeItem>
      <ddeItem name="PAGE.2.102.6" advise="1">
        <values>
          <value t="str">
            <val/>
          </value>
        </values>
      </ddeItem>
      <ddeItem name="PAGE.2.102.7" advise="1">
        <values>
          <value t="str">
            <val>10:40:45</val>
          </value>
        </values>
      </ddeItem>
      <ddeItem name="PAGE.2.102.8" advise="1">
        <values>
          <value t="str">
            <val/>
          </value>
        </values>
      </ddeItem>
      <ddeItem name="PAGE.2.102.9" advise="1">
        <values>
          <value t="str">
            <val/>
          </value>
        </values>
      </ddeItem>
      <ddeItem name="PAGE.2.103.1" advise="1">
        <values>
          <value t="str">
            <val>16/12</val>
          </value>
        </values>
      </ddeItem>
      <ddeItem name="PAGE.2.103.10" advise="1">
        <values>
          <value t="str">
            <val/>
          </value>
        </values>
      </ddeItem>
      <ddeItem name="PAGE.2.103.11" advise="1">
        <values>
          <value t="str">
            <val>TRFGZNM92617_KESN_T0</val>
          </value>
        </values>
      </ddeItem>
      <ddeItem name="PAGE.2.103.2" advise="1">
        <values>
          <value t="str">
            <val>TRFGZNM92617</val>
          </value>
        </values>
      </ddeItem>
      <ddeItem name="PAGE.2.103.3" advise="1">
        <values>
          <value t="str">
            <val/>
          </value>
        </values>
      </ddeItem>
      <ddeItem name="PAGE.2.103.4" advise="1">
        <values>
          <value t="str">
            <val/>
          </value>
        </values>
      </ddeItem>
      <ddeItem name="PAGE.2.103.5" advise="1">
        <values>
          <value t="str">
            <val/>
          </value>
        </values>
      </ddeItem>
      <ddeItem name="PAGE.2.103.6" advise="1">
        <values>
          <value t="str">
            <val/>
          </value>
        </values>
      </ddeItem>
      <ddeItem name="PAGE.2.103.7" advise="1">
        <values>
          <value t="str">
            <val>10:41:12</val>
          </value>
        </values>
      </ddeItem>
      <ddeItem name="PAGE.2.103.8" advise="1">
        <values>
          <value t="str">
            <val/>
          </value>
        </values>
      </ddeItem>
      <ddeItem name="PAGE.2.103.9" advise="1">
        <values>
          <value t="str">
            <val/>
          </value>
        </values>
      </ddeItem>
      <ddeItem name="PAGE.2.104.1" advise="1">
        <values>
          <value t="str">
            <val>16/12</val>
          </value>
        </values>
      </ddeItem>
      <ddeItem name="PAGE.2.104.10" advise="1">
        <values>
          <value t="str">
            <val/>
          </value>
        </values>
      </ddeItem>
      <ddeItem name="PAGE.2.104.11" advise="1">
        <values>
          <value t="str">
            <val>TRFGZNMK2611_KESN_T0</val>
          </value>
        </values>
      </ddeItem>
      <ddeItem name="PAGE.2.104.2" advise="1">
        <values>
          <value t="str">
            <val>TRFGZNMK2611</val>
          </value>
        </values>
      </ddeItem>
      <ddeItem name="PAGE.2.104.3" advise="1">
        <values>
          <value t="str">
            <val/>
          </value>
        </values>
      </ddeItem>
      <ddeItem name="PAGE.2.104.4" advise="1">
        <values>
          <value t="str">
            <val/>
          </value>
        </values>
      </ddeItem>
      <ddeItem name="PAGE.2.104.5" advise="1">
        <values>
          <value t="str">
            <val/>
          </value>
        </values>
      </ddeItem>
      <ddeItem name="PAGE.2.104.6" advise="1">
        <values>
          <value t="str">
            <val/>
          </value>
        </values>
      </ddeItem>
      <ddeItem name="PAGE.2.104.7" advise="1">
        <values>
          <value t="str">
            <val>10:41:49</val>
          </value>
        </values>
      </ddeItem>
      <ddeItem name="PAGE.2.104.8" advise="1">
        <values>
          <value t="str">
            <val/>
          </value>
        </values>
      </ddeItem>
      <ddeItem name="PAGE.2.104.9" advise="1">
        <values>
          <value t="str">
            <val/>
          </value>
        </values>
      </ddeItem>
      <ddeItem name="PAGE.2.105.1" advise="1">
        <values>
          <value t="str">
            <val>16/12</val>
          </value>
        </values>
      </ddeItem>
      <ddeItem name="PAGE.2.105.10" advise="1">
        <values>
          <value t="str">
            <val/>
          </value>
        </values>
      </ddeItem>
      <ddeItem name="PAGE.2.105.11" advise="1">
        <values>
          <value t="str">
            <val>TRT010328T12_KESN_T0</val>
          </value>
        </values>
      </ddeItem>
      <ddeItem name="PAGE.2.105.2" advise="1">
        <values>
          <value t="str">
            <val>TRT010328T12</val>
          </value>
        </values>
      </ddeItem>
      <ddeItem name="PAGE.2.105.3" advise="1">
        <values>
          <value t="str">
            <val/>
          </value>
        </values>
      </ddeItem>
      <ddeItem name="PAGE.2.105.4" advise="1">
        <values>
          <value t="str">
            <val/>
          </value>
        </values>
      </ddeItem>
      <ddeItem name="PAGE.2.105.5" advise="1">
        <values>
          <value t="str">
            <val/>
          </value>
        </values>
      </ddeItem>
      <ddeItem name="PAGE.2.105.6" advise="1">
        <values>
          <value t="str">
            <val/>
          </value>
        </values>
      </ddeItem>
      <ddeItem name="PAGE.2.105.7" advise="1">
        <values>
          <value t="str">
            <val>11:00:55</val>
          </value>
        </values>
      </ddeItem>
      <ddeItem name="PAGE.2.105.8" advise="1">
        <values>
          <value t="str">
            <val/>
          </value>
        </values>
      </ddeItem>
      <ddeItem name="PAGE.2.105.9" advise="1">
        <values>
          <value>
            <val>1.3973577500000001</val>
          </value>
        </values>
      </ddeItem>
      <ddeItem name="PAGE.2.106.1" advise="1">
        <values>
          <value t="str">
            <val>16/12</val>
          </value>
        </values>
      </ddeItem>
      <ddeItem name="PAGE.2.106.10" advise="1">
        <values>
          <value>
            <val>73.64</val>
          </value>
        </values>
      </ddeItem>
      <ddeItem name="PAGE.2.106.11" advise="1">
        <values>
          <value t="str">
            <val>TRT130733T17_KESN_T0</val>
          </value>
        </values>
      </ddeItem>
      <ddeItem name="PAGE.2.106.2" advise="1">
        <values>
          <value t="str">
            <val>TRT130733T17</val>
          </value>
        </values>
      </ddeItem>
      <ddeItem name="PAGE.2.106.3" advise="1">
        <values>
          <value>
            <val>66.5</val>
          </value>
        </values>
      </ddeItem>
      <ddeItem name="PAGE.2.106.4" advise="1">
        <values>
          <value>
            <val>28.87</val>
          </value>
        </values>
      </ddeItem>
      <ddeItem name="PAGE.2.106.5" advise="1">
        <values>
          <value>
            <val>30.95</val>
          </value>
        </values>
      </ddeItem>
      <ddeItem name="PAGE.2.106.6" advise="1">
        <values>
          <value>
            <val>5000000</val>
          </value>
        </values>
      </ddeItem>
      <ddeItem name="PAGE.2.106.7" advise="1">
        <values>
          <value t="str">
            <val>13:34:09</val>
          </value>
        </values>
      </ddeItem>
      <ddeItem name="PAGE.2.106.8" advise="1">
        <values>
          <value>
            <val>3681978.02</val>
          </value>
        </values>
      </ddeItem>
      <ddeItem name="PAGE.2.106.9" advise="1">
        <values>
          <value>
            <val>7.1395604400000003</val>
          </value>
        </values>
      </ddeItem>
      <ddeItem name="PAGE.2.107.1" advise="1">
        <values>
          <value t="str">
            <val>17/12</val>
          </value>
        </values>
      </ddeItem>
      <ddeItem name="PAGE.2.107.10" advise="1">
        <values>
          <value t="str">
            <val/>
          </value>
        </values>
      </ddeItem>
      <ddeItem name="PAGE.2.107.11" advise="1">
        <values>
          <value t="str">
            <val>TRT100332T15_KESN_T1</val>
          </value>
        </values>
      </ddeItem>
      <ddeItem name="PAGE.2.107.2" advise="1">
        <values>
          <value t="str">
            <val>TRT100332T15</val>
          </value>
        </values>
      </ddeItem>
      <ddeItem name="PAGE.2.107.3" advise="1">
        <values>
          <value t="str">
            <val/>
          </value>
        </values>
      </ddeItem>
      <ddeItem name="PAGE.2.107.4" advise="1">
        <values>
          <value t="str">
            <val/>
          </value>
        </values>
      </ddeItem>
      <ddeItem name="PAGE.2.107.5" advise="1">
        <values>
          <value t="str">
            <val/>
          </value>
        </values>
      </ddeItem>
      <ddeItem name="PAGE.2.107.6" advise="1">
        <values>
          <value t="str">
            <val/>
          </value>
        </values>
      </ddeItem>
      <ddeItem name="PAGE.2.107.7" advise="1">
        <values>
          <value t="str">
            <val>11:15:23</val>
          </value>
        </values>
      </ddeItem>
      <ddeItem name="PAGE.2.107.8" advise="1">
        <values>
          <value t="str">
            <val/>
          </value>
        </values>
      </ddeItem>
      <ddeItem name="PAGE.2.107.9" advise="1">
        <values>
          <value>
            <val>9.4700000000000006</val>
          </value>
        </values>
      </ddeItem>
      <ddeItem name="PAGE.2.108.1" advise="1">
        <values>
          <value t="str">
            <val>16/12</val>
          </value>
        </values>
      </ddeItem>
      <ddeItem name="PAGE.2.108.10" advise="1">
        <values>
          <value t="str">
            <val/>
          </value>
        </values>
      </ddeItem>
      <ddeItem name="PAGE.2.108.11" advise="1">
        <values>
          <value t="str">
            <val>TRDHVKAA2565_KESN_T0</val>
          </value>
        </values>
      </ddeItem>
      <ddeItem name="PAGE.2.108.2" advise="1">
        <values>
          <value t="str">
            <val>TRDHVKAA2565</val>
          </value>
        </values>
      </ddeItem>
      <ddeItem name="PAGE.2.108.3" advise="1">
        <values>
          <value t="str">
            <val/>
          </value>
        </values>
      </ddeItem>
      <ddeItem name="PAGE.2.108.4" advise="1">
        <values>
          <value t="str">
            <val/>
          </value>
        </values>
      </ddeItem>
      <ddeItem name="PAGE.2.108.5" advise="1">
        <values>
          <value t="str">
            <val/>
          </value>
        </values>
      </ddeItem>
      <ddeItem name="PAGE.2.108.6" advise="1">
        <values>
          <value t="str">
            <val/>
          </value>
        </values>
      </ddeItem>
      <ddeItem name="PAGE.2.108.7" advise="1">
        <values>
          <value t="str">
            <val>11:15:23</val>
          </value>
        </values>
      </ddeItem>
      <ddeItem name="PAGE.2.108.8" advise="1">
        <values>
          <value t="str">
            <val/>
          </value>
        </values>
      </ddeItem>
      <ddeItem name="PAGE.2.108.9" advise="1">
        <values>
          <value>
            <val>8.8684952750000008</val>
          </value>
        </values>
      </ddeItem>
      <ddeItem name="PAGE.2.109.1" advise="1">
        <values>
          <value t="str">
            <val>17/12</val>
          </value>
        </values>
      </ddeItem>
      <ddeItem name="PAGE.2.109.10" advise="1">
        <values>
          <value t="str">
            <val/>
          </value>
        </values>
      </ddeItem>
      <ddeItem name="PAGE.2.109.11" advise="1">
        <values>
          <value t="str">
            <val>TRT210826F11_KESN_T1</val>
          </value>
        </values>
      </ddeItem>
      <ddeItem name="PAGE.2.109.2" advise="1">
        <values>
          <value t="str">
            <val>TRT210826F11</val>
          </value>
        </values>
      </ddeItem>
      <ddeItem name="PAGE.2.109.3" advise="1">
        <values>
          <value t="str">
            <val/>
          </value>
        </values>
      </ddeItem>
      <ddeItem name="PAGE.2.109.4" advise="1">
        <values>
          <value t="str">
            <val/>
          </value>
        </values>
      </ddeItem>
      <ddeItem name="PAGE.2.109.5" advise="1">
        <values>
          <value t="str">
            <val/>
          </value>
        </values>
      </ddeItem>
      <ddeItem name="PAGE.2.109.6" advise="1">
        <values>
          <value t="str">
            <val/>
          </value>
        </values>
      </ddeItem>
      <ddeItem name="PAGE.2.109.7" advise="1">
        <values>
          <value t="str">
            <val>12:27:19</val>
          </value>
        </values>
      </ddeItem>
      <ddeItem name="PAGE.2.109.8" advise="1">
        <values>
          <value t="str">
            <val/>
          </value>
        </values>
      </ddeItem>
      <ddeItem name="PAGE.2.109.9" advise="1">
        <values>
          <value>
            <val>1.542857143</val>
          </value>
        </values>
      </ddeItem>
      <ddeItem name="PAGE.2.11.1" advise="1">
        <values>
          <value t="str">
            <val>16/12</val>
          </value>
        </values>
      </ddeItem>
      <ddeItem name="PAGE.2.11.10" advise="1">
        <values>
          <value>
            <val>111.99299999999999</val>
          </value>
        </values>
      </ddeItem>
      <ddeItem name="PAGE.2.11.11" advise="1">
        <values>
          <value t="str">
            <val>TRT180226T16_KESN_T0</val>
          </value>
        </values>
      </ddeItem>
      <ddeItem name="PAGE.2.11.2" advise="1">
        <values>
          <value t="str">
            <val>TRT180226T16</val>
          </value>
        </values>
      </ddeItem>
      <ddeItem name="PAGE.2.11.3" advise="1">
        <values>
          <value>
            <val>99.998000000000005</val>
          </value>
        </values>
      </ddeItem>
      <ddeItem name="PAGE.2.11.4" advise="1">
        <values>
          <value>
            <val>33.14</val>
          </value>
        </values>
      </ddeItem>
      <ddeItem name="PAGE.2.11.5" advise="1">
        <values>
          <value>
            <val>38.01</val>
          </value>
        </values>
      </ddeItem>
      <ddeItem name="PAGE.2.11.6" advise="1">
        <values>
          <value>
            <val>131000000</val>
          </value>
        </values>
      </ddeItem>
      <ddeItem name="PAGE.2.11.7" advise="1">
        <values>
          <value t="str">
            <val>13:48:42</val>
          </value>
        </values>
      </ddeItem>
      <ddeItem name="PAGE.2.11.8" advise="1">
        <values>
          <value>
            <val>146709802.18000001</val>
          </value>
        </values>
      </ddeItem>
      <ddeItem name="PAGE.2.11.9" advise="1">
        <values>
          <value>
            <val>11.994505495</val>
          </value>
        </values>
      </ddeItem>
      <ddeItem name="PAGE.2.110.1" advise="1">
        <values>
          <value t="str">
            <val>16/12</val>
          </value>
        </values>
      </ddeItem>
      <ddeItem name="PAGE.2.110.10" advise="1">
        <values>
          <value t="str">
            <val/>
          </value>
        </values>
      </ddeItem>
      <ddeItem name="PAGE.2.110.11" advise="1">
        <values>
          <value t="str">
            <val>TRSZORN52617_KESN_T0</val>
          </value>
        </values>
      </ddeItem>
      <ddeItem name="PAGE.2.110.2" advise="1">
        <values>
          <value t="str">
            <val>TRSZORN52617</val>
          </value>
        </values>
      </ddeItem>
      <ddeItem name="PAGE.2.110.3" advise="1">
        <values>
          <value t="str">
            <val/>
          </value>
        </values>
      </ddeItem>
      <ddeItem name="PAGE.2.110.4" advise="1">
        <values>
          <value t="str">
            <val/>
          </value>
        </values>
      </ddeItem>
      <ddeItem name="PAGE.2.110.5" advise="1">
        <values>
          <value t="str">
            <val/>
          </value>
        </values>
      </ddeItem>
      <ddeItem name="PAGE.2.110.6" advise="1">
        <values>
          <value t="str">
            <val/>
          </value>
        </values>
      </ddeItem>
      <ddeItem name="PAGE.2.110.7" advise="1">
        <values>
          <value t="str">
            <val>11:18:21</val>
          </value>
        </values>
      </ddeItem>
      <ddeItem name="PAGE.2.110.8" advise="1">
        <values>
          <value t="str">
            <val/>
          </value>
        </values>
      </ddeItem>
      <ddeItem name="PAGE.2.110.9" advise="1">
        <values>
          <value>
            <val>0.71234482799999999</val>
          </value>
        </values>
      </ddeItem>
      <ddeItem name="PAGE.2.111.1" advise="1">
        <values>
          <value t="str">
            <val>16/12</val>
          </value>
        </values>
      </ddeItem>
      <ddeItem name="PAGE.2.111.10" advise="1">
        <values>
          <value t="str">
            <val/>
          </value>
        </values>
      </ddeItem>
      <ddeItem name="PAGE.2.111.11" advise="1">
        <values>
          <value t="str">
            <val>TRFIAZY42610_KESN_T0</val>
          </value>
        </values>
      </ddeItem>
      <ddeItem name="PAGE.2.111.2" advise="1">
        <values>
          <value t="str">
            <val>TRFIAZY42610</val>
          </value>
        </values>
      </ddeItem>
      <ddeItem name="PAGE.2.111.3" advise="1">
        <values>
          <value t="str">
            <val/>
          </value>
        </values>
      </ddeItem>
      <ddeItem name="PAGE.2.111.4" advise="1">
        <values>
          <value t="str">
            <val/>
          </value>
        </values>
      </ddeItem>
      <ddeItem name="PAGE.2.111.5" advise="1">
        <values>
          <value t="str">
            <val/>
          </value>
        </values>
      </ddeItem>
      <ddeItem name="PAGE.2.111.6" advise="1">
        <values>
          <value t="str">
            <val/>
          </value>
        </values>
      </ddeItem>
      <ddeItem name="PAGE.2.111.7" advise="1">
        <values>
          <value t="str">
            <val>11:21:04</val>
          </value>
        </values>
      </ddeItem>
      <ddeItem name="PAGE.2.111.8" advise="1">
        <values>
          <value t="str">
            <val/>
          </value>
        </values>
      </ddeItem>
      <ddeItem name="PAGE.2.111.9" advise="1">
        <values>
          <value>
            <val>4.0292207790000001</val>
          </value>
        </values>
      </ddeItem>
      <ddeItem name="PAGE.2.112.1" advise="1">
        <values>
          <value t="str">
            <val>16/12</val>
          </value>
        </values>
      </ddeItem>
      <ddeItem name="PAGE.2.112.10" advise="1">
        <values>
          <value t="str">
            <val/>
          </value>
        </values>
      </ddeItem>
      <ddeItem name="PAGE.2.112.11" advise="1">
        <values>
          <value t="str">
            <val>TRT190128T14_KESN_T0</val>
          </value>
        </values>
      </ddeItem>
      <ddeItem name="PAGE.2.112.2" advise="1">
        <values>
          <value t="str">
            <val>TRT190128T14</val>
          </value>
        </values>
      </ddeItem>
      <ddeItem name="PAGE.2.112.3" advise="1">
        <values>
          <value t="str">
            <val/>
          </value>
        </values>
      </ddeItem>
      <ddeItem name="PAGE.2.112.4" advise="1">
        <values>
          <value t="str">
            <val/>
          </value>
        </values>
      </ddeItem>
      <ddeItem name="PAGE.2.112.5" advise="1">
        <values>
          <value t="str">
            <val/>
          </value>
        </values>
      </ddeItem>
      <ddeItem name="PAGE.2.112.6" advise="1">
        <values>
          <value t="str">
            <val/>
          </value>
        </values>
      </ddeItem>
      <ddeItem name="PAGE.2.112.7" advise="1">
        <values>
          <value t="str">
            <val>11:32:05</val>
          </value>
        </values>
      </ddeItem>
      <ddeItem name="PAGE.2.112.8" advise="1">
        <values>
          <value t="str">
            <val/>
          </value>
        </values>
      </ddeItem>
      <ddeItem name="PAGE.2.112.9" advise="1">
        <values>
          <value>
            <val>6.0901386840000002</val>
          </value>
        </values>
      </ddeItem>
      <ddeItem name="PAGE.2.113.1" advise="1">
        <values>
          <value t="str">
            <val>17/12</val>
          </value>
        </values>
      </ddeItem>
      <ddeItem name="PAGE.2.113.10" advise="1">
        <values>
          <value t="str">
            <val/>
          </value>
        </values>
      </ddeItem>
      <ddeItem name="PAGE.2.113.11" advise="1">
        <values>
          <value t="str">
            <val>TRT190128T14_KESN_T1</val>
          </value>
        </values>
      </ddeItem>
      <ddeItem name="PAGE.2.113.2" advise="1">
        <values>
          <value t="str">
            <val>TRT190128T14</val>
          </value>
        </values>
      </ddeItem>
      <ddeItem name="PAGE.2.113.3" advise="1">
        <values>
          <value t="str">
            <val/>
          </value>
        </values>
      </ddeItem>
      <ddeItem name="PAGE.2.113.4" advise="1">
        <values>
          <value t="str">
            <val/>
          </value>
        </values>
      </ddeItem>
      <ddeItem name="PAGE.2.113.5" advise="1">
        <values>
          <value t="str">
            <val/>
          </value>
        </values>
      </ddeItem>
      <ddeItem name="PAGE.2.113.6" advise="1">
        <values>
          <value t="str">
            <val/>
          </value>
        </values>
      </ddeItem>
      <ddeItem name="PAGE.2.113.7" advise="1">
        <values>
          <value t="str">
            <val>11:23:51</val>
          </value>
        </values>
      </ddeItem>
      <ddeItem name="PAGE.2.113.8" advise="1">
        <values>
          <value t="str">
            <val/>
          </value>
        </values>
      </ddeItem>
      <ddeItem name="PAGE.2.113.9" advise="1">
        <values>
          <value>
            <val>6.1998445560000004</val>
          </value>
        </values>
      </ddeItem>
      <ddeItem name="PAGE.2.114.1" advise="1">
        <values>
          <value t="str">
            <val>17/12</val>
          </value>
        </values>
      </ddeItem>
      <ddeItem name="PAGE.2.114.10" advise="1">
        <values>
          <value>
            <val>100.39</val>
          </value>
        </values>
      </ddeItem>
      <ddeItem name="PAGE.2.114.11" advise="1">
        <values>
          <value t="str">
            <val>TRT061228T16_KESN_T1</val>
          </value>
        </values>
      </ddeItem>
      <ddeItem name="PAGE.2.114.2" advise="1">
        <values>
          <value t="str">
            <val>TRT061228T16</val>
          </value>
        </values>
      </ddeItem>
      <ddeItem name="PAGE.2.114.3" advise="1">
        <values>
          <value>
            <val>99.65</val>
          </value>
        </values>
      </ddeItem>
      <ddeItem name="PAGE.2.114.4" advise="1">
        <values>
          <value t="str">
            <val/>
          </value>
        </values>
      </ddeItem>
      <ddeItem name="PAGE.2.114.5" advise="1">
        <values>
          <value t="str">
            <val/>
          </value>
        </values>
      </ddeItem>
      <ddeItem name="PAGE.2.114.6" advise="1">
        <values>
          <value>
            <val>25000000</val>
          </value>
        </values>
      </ddeItem>
      <ddeItem name="PAGE.2.114.7" advise="1">
        <values>
          <value t="str">
            <val>13:47:27</val>
          </value>
        </values>
      </ddeItem>
      <ddeItem name="PAGE.2.114.8" advise="1">
        <values>
          <value>
            <val>25097448.710000001</val>
          </value>
        </values>
      </ddeItem>
      <ddeItem name="PAGE.2.114.9" advise="1">
        <values>
          <value>
            <val>0.73979482500000004</val>
          </value>
        </values>
      </ddeItem>
      <ddeItem name="PAGE.2.115.1" advise="1">
        <values>
          <value t="str">
            <val>19/12</val>
          </value>
        </values>
      </ddeItem>
      <ddeItem name="PAGE.2.115.10" advise="1">
        <values>
          <value t="str">
            <val/>
          </value>
        </values>
      </ddeItem>
      <ddeItem name="PAGE.2.115.11" advise="1">
        <values>
          <value t="str">
            <val>TRFTCMD22617_KESN_191225</val>
          </value>
        </values>
      </ddeItem>
      <ddeItem name="PAGE.2.115.2" advise="1">
        <values>
          <value t="str">
            <val>TRFTCMD22617</val>
          </value>
        </values>
      </ddeItem>
      <ddeItem name="PAGE.2.115.3" advise="1">
        <values>
          <value t="str">
            <val/>
          </value>
        </values>
      </ddeItem>
      <ddeItem name="PAGE.2.115.4" advise="1">
        <values>
          <value t="str">
            <val/>
          </value>
        </values>
      </ddeItem>
      <ddeItem name="PAGE.2.115.5" advise="1">
        <values>
          <value t="str">
            <val/>
          </value>
        </values>
      </ddeItem>
      <ddeItem name="PAGE.2.115.6" advise="1">
        <values>
          <value t="str">
            <val/>
          </value>
        </values>
      </ddeItem>
      <ddeItem name="PAGE.2.115.7" advise="1">
        <values>
          <value t="str">
            <val>11:49:50</val>
          </value>
        </values>
      </ddeItem>
      <ddeItem name="PAGE.2.115.8" advise="1">
        <values>
          <value t="str">
            <val/>
          </value>
        </values>
      </ddeItem>
      <ddeItem name="PAGE.2.115.9" advise="1">
        <values>
          <value t="str">
            <val/>
          </value>
        </values>
      </ddeItem>
      <ddeItem name="PAGE.2.116.1" advise="1">
        <values>
          <value t="str">
            <val>17/12</val>
          </value>
        </values>
      </ddeItem>
      <ddeItem name="PAGE.2.116.10" advise="1">
        <values>
          <value>
            <val>73.738</val>
          </value>
        </values>
      </ddeItem>
      <ddeItem name="PAGE.2.116.11" advise="1">
        <values>
          <value t="str">
            <val>TRT130733T17_KESN_T1</val>
          </value>
        </values>
      </ddeItem>
      <ddeItem name="PAGE.2.116.2" advise="1">
        <values>
          <value t="str">
            <val>TRT130733T17</val>
          </value>
        </values>
      </ddeItem>
      <ddeItem name="PAGE.2.116.3" advise="1">
        <values>
          <value>
            <val>66.55</val>
          </value>
        </values>
      </ddeItem>
      <ddeItem name="PAGE.2.116.4" advise="1">
        <values>
          <value>
            <val>28.85</val>
          </value>
        </values>
      </ddeItem>
      <ddeItem name="PAGE.2.116.5" advise="1">
        <values>
          <value>
            <val>30.93</val>
          </value>
        </values>
      </ddeItem>
      <ddeItem name="PAGE.2.116.6" advise="1">
        <values>
          <value>
            <val>31000000</val>
          </value>
        </values>
      </ddeItem>
      <ddeItem name="PAGE.2.116.7" advise="1">
        <values>
          <value t="str">
            <val>14:09:31</val>
          </value>
        </values>
      </ddeItem>
      <ddeItem name="PAGE.2.116.8" advise="1">
        <values>
          <value>
            <val>22858923.079999998</val>
          </value>
        </values>
      </ddeItem>
      <ddeItem name="PAGE.2.116.9" advise="1">
        <values>
          <value>
            <val>7.1884615380000003</val>
          </value>
        </values>
      </ddeItem>
      <ddeItem name="PAGE.2.117.1" advise="1">
        <values>
          <value t="str">
            <val>16/12</val>
          </value>
        </values>
      </ddeItem>
      <ddeItem name="PAGE.2.117.10" advise="1">
        <values>
          <value t="str">
            <val/>
          </value>
        </values>
      </ddeItem>
      <ddeItem name="PAGE.2.117.11" advise="1">
        <values>
          <value t="str">
            <val>TRDEVKS22665_KESN_T0</val>
          </value>
        </values>
      </ddeItem>
      <ddeItem name="PAGE.2.117.2" advise="1">
        <values>
          <value t="str">
            <val>TRDEVKS22665</val>
          </value>
        </values>
      </ddeItem>
      <ddeItem name="PAGE.2.117.3" advise="1">
        <values>
          <value t="str">
            <val/>
          </value>
        </values>
      </ddeItem>
      <ddeItem name="PAGE.2.117.4" advise="1">
        <values>
          <value t="str">
            <val/>
          </value>
        </values>
      </ddeItem>
      <ddeItem name="PAGE.2.117.5" advise="1">
        <values>
          <value t="str">
            <val/>
          </value>
        </values>
      </ddeItem>
      <ddeItem name="PAGE.2.117.6" advise="1">
        <values>
          <value t="str">
            <val/>
          </value>
        </values>
      </ddeItem>
      <ddeItem name="PAGE.2.117.7" advise="1">
        <values>
          <value t="str">
            <val>11:36:45</val>
          </value>
        </values>
      </ddeItem>
      <ddeItem name="PAGE.2.117.8" advise="1">
        <values>
          <value t="str">
            <val/>
          </value>
        </values>
      </ddeItem>
      <ddeItem name="PAGE.2.117.9" advise="1">
        <values>
          <value>
            <val>2.8109589800000001</val>
          </value>
        </values>
      </ddeItem>
      <ddeItem name="PAGE.2.118.1" advise="1">
        <values>
          <value t="str">
            <val>16/12</val>
          </value>
        </values>
      </ddeItem>
      <ddeItem name="PAGE.2.118.10" advise="1">
        <values>
          <value t="str">
            <val/>
          </value>
        </values>
      </ddeItem>
      <ddeItem name="PAGE.2.118.11" advise="1">
        <values>
          <value t="str">
            <val>TRFYKYM22640_KESN_T0</val>
          </value>
        </values>
      </ddeItem>
      <ddeItem name="PAGE.2.118.2" advise="1">
        <values>
          <value t="str">
            <val>TRFYKYM22640</val>
          </value>
        </values>
      </ddeItem>
      <ddeItem name="PAGE.2.118.3" advise="1">
        <values>
          <value t="str">
            <val/>
          </value>
        </values>
      </ddeItem>
      <ddeItem name="PAGE.2.118.4" advise="1">
        <values>
          <value t="str">
            <val/>
          </value>
        </values>
      </ddeItem>
      <ddeItem name="PAGE.2.118.5" advise="1">
        <values>
          <value t="str">
            <val/>
          </value>
        </values>
      </ddeItem>
      <ddeItem name="PAGE.2.118.6" advise="1">
        <values>
          <value t="str">
            <val/>
          </value>
        </values>
      </ddeItem>
      <ddeItem name="PAGE.2.118.7" advise="1">
        <values>
          <value t="str">
            <val>11:39:48</val>
          </value>
        </values>
      </ddeItem>
      <ddeItem name="PAGE.2.118.8" advise="1">
        <values>
          <value t="str">
            <val/>
          </value>
        </values>
      </ddeItem>
      <ddeItem name="PAGE.2.118.9" advise="1">
        <values>
          <value t="str">
            <val/>
          </value>
        </values>
      </ddeItem>
      <ddeItem name="PAGE.2.119.1" advise="1">
        <values>
          <value t="str">
            <val>16/12</val>
          </value>
        </values>
      </ddeItem>
      <ddeItem name="PAGE.2.119.10" advise="1">
        <values>
          <value t="str">
            <val/>
          </value>
        </values>
      </ddeItem>
      <ddeItem name="PAGE.2.119.11" advise="1">
        <values>
          <value t="str">
            <val>TRFTCMD12626_KESN_T0</val>
          </value>
        </values>
      </ddeItem>
      <ddeItem name="PAGE.2.119.2" advise="1">
        <values>
          <value t="str">
            <val>TRFTCMD12626</val>
          </value>
        </values>
      </ddeItem>
      <ddeItem name="PAGE.2.119.3" advise="1">
        <values>
          <value t="str">
            <val/>
          </value>
        </values>
      </ddeItem>
      <ddeItem name="PAGE.2.119.4" advise="1">
        <values>
          <value t="str">
            <val/>
          </value>
        </values>
      </ddeItem>
      <ddeItem name="PAGE.2.119.5" advise="1">
        <values>
          <value t="str">
            <val/>
          </value>
        </values>
      </ddeItem>
      <ddeItem name="PAGE.2.119.6" advise="1">
        <values>
          <value t="str">
            <val/>
          </value>
        </values>
      </ddeItem>
      <ddeItem name="PAGE.2.119.7" advise="1">
        <values>
          <value t="str">
            <val>11:42:10</val>
          </value>
        </values>
      </ddeItem>
      <ddeItem name="PAGE.2.119.8" advise="1">
        <values>
          <value t="str">
            <val/>
          </value>
        </values>
      </ddeItem>
      <ddeItem name="PAGE.2.119.9" advise="1">
        <values>
          <value t="str">
            <val/>
          </value>
        </values>
      </ddeItem>
      <ddeItem name="PAGE.2.12.1" advise="1">
        <values>
          <value t="str">
            <val>16/12</val>
          </value>
        </values>
      </ddeItem>
      <ddeItem name="PAGE.2.12.10" advise="1">
        <values>
          <value>
            <val>100.015</val>
          </value>
        </values>
      </ddeItem>
      <ddeItem name="PAGE.2.12.11" advise="1">
        <values>
          <value t="str">
            <val>TRT110226T13_KESN_T0</val>
          </value>
        </values>
      </ddeItem>
      <ddeItem name="PAGE.2.12.2" advise="1">
        <values>
          <value t="str">
            <val>TRT110226T13</val>
          </value>
        </values>
      </ddeItem>
      <ddeItem name="PAGE.2.12.3" advise="1">
        <values>
          <value>
            <val>96.375</val>
          </value>
        </values>
      </ddeItem>
      <ddeItem name="PAGE.2.12.4" advise="1">
        <values>
          <value>
            <val>33.840000000000003</val>
          </value>
        </values>
      </ddeItem>
      <ddeItem name="PAGE.2.12.5" advise="1">
        <values>
          <value>
            <val>39.06</val>
          </value>
        </values>
      </ddeItem>
      <ddeItem name="PAGE.2.12.6" advise="1">
        <values>
          <value>
            <val>48000000</val>
          </value>
        </values>
      </ddeItem>
      <ddeItem name="PAGE.2.12.7" advise="1">
        <values>
          <value t="str">
            <val>13:07:03</val>
          </value>
        </values>
      </ddeItem>
      <ddeItem name="PAGE.2.12.8" advise="1">
        <values>
          <value>
            <val>48007252.75</val>
          </value>
        </values>
      </ddeItem>
      <ddeItem name="PAGE.2.12.9" advise="1">
        <values>
          <value>
            <val>3.6401098900000002</val>
          </value>
        </values>
      </ddeItem>
      <ddeItem name="PAGE.2.120.1" advise="1">
        <values>
          <value t="str">
            <val>19/12</val>
          </value>
        </values>
      </ddeItem>
      <ddeItem name="PAGE.2.120.10" advise="1">
        <values>
          <value t="str">
            <val/>
          </value>
        </values>
      </ddeItem>
      <ddeItem name="PAGE.2.120.11" advise="1">
        <values>
          <value t="str">
            <val>TRFTCMD12626_KESN_191225</val>
          </value>
        </values>
      </ddeItem>
      <ddeItem name="PAGE.2.120.2" advise="1">
        <values>
          <value t="str">
            <val>TRFTCMD12626</val>
          </value>
        </values>
      </ddeItem>
      <ddeItem name="PAGE.2.120.3" advise="1">
        <values>
          <value t="str">
            <val/>
          </value>
        </values>
      </ddeItem>
      <ddeItem name="PAGE.2.120.4" advise="1">
        <values>
          <value t="str">
            <val/>
          </value>
        </values>
      </ddeItem>
      <ddeItem name="PAGE.2.120.5" advise="1">
        <values>
          <value t="str">
            <val/>
          </value>
        </values>
      </ddeItem>
      <ddeItem name="PAGE.2.120.6" advise="1">
        <values>
          <value t="str">
            <val/>
          </value>
        </values>
      </ddeItem>
      <ddeItem name="PAGE.2.120.7" advise="1">
        <values>
          <value t="str">
            <val>11:43:52</val>
          </value>
        </values>
      </ddeItem>
      <ddeItem name="PAGE.2.120.8" advise="1">
        <values>
          <value t="str">
            <val/>
          </value>
        </values>
      </ddeItem>
      <ddeItem name="PAGE.2.120.9" advise="1">
        <values>
          <value t="str">
            <val/>
          </value>
        </values>
      </ddeItem>
      <ddeItem name="PAGE.2.121.1" advise="1">
        <values>
          <value t="str">
            <val>16/12</val>
          </value>
        </values>
      </ddeItem>
      <ddeItem name="PAGE.2.121.10" advise="1">
        <values>
          <value t="str">
            <val/>
          </value>
        </values>
      </ddeItem>
      <ddeItem name="PAGE.2.121.11" advise="1">
        <values>
          <value t="str">
            <val>TRFTCMD22617_KESN_T0</val>
          </value>
        </values>
      </ddeItem>
      <ddeItem name="PAGE.2.121.2" advise="1">
        <values>
          <value t="str">
            <val>TRFTCMD22617</val>
          </value>
        </values>
      </ddeItem>
      <ddeItem name="PAGE.2.121.3" advise="1">
        <values>
          <value t="str">
            <val/>
          </value>
        </values>
      </ddeItem>
      <ddeItem name="PAGE.2.121.4" advise="1">
        <values>
          <value t="str">
            <val/>
          </value>
        </values>
      </ddeItem>
      <ddeItem name="PAGE.2.121.5" advise="1">
        <values>
          <value t="str">
            <val/>
          </value>
        </values>
      </ddeItem>
      <ddeItem name="PAGE.2.121.6" advise="1">
        <values>
          <value t="str">
            <val/>
          </value>
        </values>
      </ddeItem>
      <ddeItem name="PAGE.2.121.7" advise="1">
        <values>
          <value t="str">
            <val>11:47:36</val>
          </value>
        </values>
      </ddeItem>
      <ddeItem name="PAGE.2.121.8" advise="1">
        <values>
          <value t="str">
            <val/>
          </value>
        </values>
      </ddeItem>
      <ddeItem name="PAGE.2.121.9" advise="1">
        <values>
          <value>
            <val>2.4712285710000002</val>
          </value>
        </values>
      </ddeItem>
      <ddeItem name="PAGE.2.122.1" advise="1">
        <values>
          <value t="str">
            <val>17/12</val>
          </value>
        </values>
      </ddeItem>
      <ddeItem name="PAGE.2.122.10" advise="1">
        <values>
          <value>
            <val>94.085999999999999</val>
          </value>
        </values>
      </ddeItem>
      <ddeItem name="PAGE.2.122.11" advise="1">
        <values>
          <value t="str">
            <val>TRFNURL22622_KESN_T1</val>
          </value>
        </values>
      </ddeItem>
      <ddeItem name="PAGE.2.122.2" advise="1">
        <values>
          <value t="str">
            <val>TRFNURL22622</val>
          </value>
        </values>
      </ddeItem>
      <ddeItem name="PAGE.2.122.3" advise="1">
        <values>
          <value>
            <val>94.085999999999999</val>
          </value>
        </values>
      </ddeItem>
      <ddeItem name="PAGE.2.122.4" advise="1">
        <values>
          <value>
            <val>40.25</val>
          </value>
        </values>
      </ddeItem>
      <ddeItem name="PAGE.2.122.5" advise="1">
        <values>
          <value>
            <val>47.75</val>
          </value>
        </values>
      </ddeItem>
      <ddeItem name="PAGE.2.122.6" advise="1">
        <values>
          <value>
            <val>150000000</val>
          </value>
        </values>
      </ddeItem>
      <ddeItem name="PAGE.2.122.7" advise="1">
        <values>
          <value t="str">
            <val>14:14:19</val>
          </value>
        </values>
      </ddeItem>
      <ddeItem name="PAGE.2.122.8" advise="1">
        <values>
          <value>
            <val>141129162.18000001</val>
          </value>
        </values>
      </ddeItem>
      <ddeItem name="PAGE.2.122.9" advise="1">
        <values>
          <value t="str">
            <val/>
          </value>
        </values>
      </ddeItem>
      <ddeItem name="PAGE.2.123.1" advise="1">
        <values>
          <value t="str">
            <val>17/12</val>
          </value>
        </values>
      </ddeItem>
      <ddeItem name="PAGE.2.123.10" advise="1">
        <values>
          <value t="str">
            <val/>
          </value>
        </values>
      </ddeItem>
      <ddeItem name="PAGE.2.123.11" advise="1">
        <values>
          <value t="str">
            <val>TRT191127F19_KESN_T1</val>
          </value>
        </values>
      </ddeItem>
      <ddeItem name="PAGE.2.123.2" advise="1">
        <values>
          <value t="str">
            <val>TRT191127F19</val>
          </value>
        </values>
      </ddeItem>
      <ddeItem name="PAGE.2.123.3" advise="1">
        <values>
          <value t="str">
            <val/>
          </value>
        </values>
      </ddeItem>
      <ddeItem name="PAGE.2.123.4" advise="1">
        <values>
          <value t="str">
            <val/>
          </value>
        </values>
      </ddeItem>
      <ddeItem name="PAGE.2.123.5" advise="1">
        <values>
          <value t="str">
            <val/>
          </value>
        </values>
      </ddeItem>
      <ddeItem name="PAGE.2.123.6" advise="1">
        <values>
          <value t="str">
            <val/>
          </value>
        </values>
      </ddeItem>
      <ddeItem name="PAGE.2.123.7" advise="1">
        <values>
          <value t="str">
            <val>11:52:33</val>
          </value>
        </values>
      </ddeItem>
      <ddeItem name="PAGE.2.123.8" advise="1">
        <values>
          <value t="str">
            <val/>
          </value>
        </values>
      </ddeItem>
      <ddeItem name="PAGE.2.123.9" advise="1">
        <values>
          <value>
            <val>0.3</val>
          </value>
        </values>
      </ddeItem>
      <ddeItem name="PAGE.2.124.1" advise="1">
        <values>
          <value t="str">
            <val>16/12</val>
          </value>
        </values>
      </ddeItem>
      <ddeItem name="PAGE.2.124.10" advise="1">
        <values>
          <value t="str">
            <val/>
          </value>
        </values>
      </ddeItem>
      <ddeItem name="PAGE.2.124.11" advise="1">
        <values>
          <value t="str">
            <val>TRD150426T49_KESN_T0</val>
          </value>
        </values>
      </ddeItem>
      <ddeItem name="PAGE.2.124.2" advise="1">
        <values>
          <value t="str">
            <val>TRD150426T49</val>
          </value>
        </values>
      </ddeItem>
      <ddeItem name="PAGE.2.124.3" advise="1">
        <values>
          <value t="str">
            <val/>
          </value>
        </values>
      </ddeItem>
      <ddeItem name="PAGE.2.124.4" advise="1">
        <values>
          <value t="str">
            <val/>
          </value>
        </values>
      </ddeItem>
      <ddeItem name="PAGE.2.124.5" advise="1">
        <values>
          <value t="str">
            <val/>
          </value>
        </values>
      </ddeItem>
      <ddeItem name="PAGE.2.124.6" advise="1">
        <values>
          <value t="str">
            <val/>
          </value>
        </values>
      </ddeItem>
      <ddeItem name="PAGE.2.124.7" advise="1">
        <values>
          <value t="str">
            <val>12:35:21</val>
          </value>
        </values>
      </ddeItem>
      <ddeItem name="PAGE.2.124.8" advise="1">
        <values>
          <value t="str">
            <val/>
          </value>
        </values>
      </ddeItem>
      <ddeItem name="PAGE.2.124.9" advise="1">
        <values>
          <value>
            <val>6.8915384619999998</val>
          </value>
        </values>
      </ddeItem>
      <ddeItem name="PAGE.2.125.1" advise="1">
        <values>
          <value t="str">
            <val>16/12</val>
          </value>
        </values>
      </ddeItem>
      <ddeItem name="PAGE.2.125.10" advise="1">
        <values>
          <value t="str">
            <val/>
          </value>
        </values>
      </ddeItem>
      <ddeItem name="PAGE.2.125.11" advise="1">
        <values>
          <value t="str">
            <val>TRT190728T34_KESN_T0</val>
          </value>
        </values>
      </ddeItem>
      <ddeItem name="PAGE.2.125.2" advise="1">
        <values>
          <value t="str">
            <val>TRT190728T34</val>
          </value>
        </values>
      </ddeItem>
      <ddeItem name="PAGE.2.125.3" advise="1">
        <values>
          <value t="str">
            <val/>
          </value>
        </values>
      </ddeItem>
      <ddeItem name="PAGE.2.125.4" advise="1">
        <values>
          <value t="str">
            <val/>
          </value>
        </values>
      </ddeItem>
      <ddeItem name="PAGE.2.125.5" advise="1">
        <values>
          <value t="str">
            <val/>
          </value>
        </values>
      </ddeItem>
      <ddeItem name="PAGE.2.125.6" advise="1">
        <values>
          <value t="str">
            <val/>
          </value>
        </values>
      </ddeItem>
      <ddeItem name="PAGE.2.125.7" advise="1">
        <values>
          <value t="str">
            <val>12:01:55</val>
          </value>
        </values>
      </ddeItem>
      <ddeItem name="PAGE.2.125.8" advise="1">
        <values>
          <value t="str">
            <val/>
          </value>
        </values>
      </ddeItem>
      <ddeItem name="PAGE.2.125.9" advise="1">
        <values>
          <value>
            <val>0</val>
          </value>
        </values>
      </ddeItem>
      <ddeItem name="PAGE.2.126.1" advise="1">
        <values>
          <value t="str">
            <val>16/12</val>
          </value>
        </values>
      </ddeItem>
      <ddeItem name="PAGE.2.126.10" advise="1">
        <values>
          <value>
            <val>101.411</val>
          </value>
        </values>
      </ddeItem>
      <ddeItem name="PAGE.2.126.11" advise="1">
        <values>
          <value t="str">
            <val>TRDZKBV42623_KESN_T0</val>
          </value>
        </values>
      </ddeItem>
      <ddeItem name="PAGE.2.126.2" advise="1">
        <values>
          <value t="str">
            <val>TRDZKBV42623</val>
          </value>
        </values>
      </ddeItem>
      <ddeItem name="PAGE.2.126.3" advise="1">
        <values>
          <value>
            <val>99.915000000000006</val>
          </value>
        </values>
      </ddeItem>
      <ddeItem name="PAGE.2.126.4" advise="1">
        <values>
          <value>
            <val>41.7</val>
          </value>
        </values>
      </ddeItem>
      <ddeItem name="PAGE.2.126.5" advise="1">
        <values>
          <value>
            <val>48.2</val>
          </value>
        </values>
      </ddeItem>
      <ddeItem name="PAGE.2.126.6" advise="1">
        <values>
          <value>
            <val>18000000</val>
          </value>
        </values>
      </ddeItem>
      <ddeItem name="PAGE.2.126.7" advise="1">
        <values>
          <value t="str">
            <val>12:12:37</val>
          </value>
        </values>
      </ddeItem>
      <ddeItem name="PAGE.2.126.8" advise="1">
        <values>
          <value>
            <val>18253960.300000001</val>
          </value>
        </values>
      </ddeItem>
      <ddeItem name="PAGE.2.126.9" advise="1">
        <values>
          <value>
            <val>1.4958905</val>
          </value>
        </values>
      </ddeItem>
      <ddeItem name="PAGE.2.127.1" advise="1">
        <values>
          <value t="str">
            <val>17/12</val>
          </value>
        </values>
      </ddeItem>
      <ddeItem name="PAGE.2.127.10" advise="1">
        <values>
          <value t="str">
            <val/>
          </value>
        </values>
      </ddeItem>
      <ddeItem name="PAGE.2.127.11" advise="1">
        <values>
          <value t="str">
            <val>TRT150927T11_KESN_T1</val>
          </value>
        </values>
      </ddeItem>
      <ddeItem name="PAGE.2.127.2" advise="1">
        <values>
          <value t="str">
            <val>TRT150927T11</val>
          </value>
        </values>
      </ddeItem>
      <ddeItem name="PAGE.2.127.3" advise="1">
        <values>
          <value t="str">
            <val/>
          </value>
        </values>
      </ddeItem>
      <ddeItem name="PAGE.2.127.4" advise="1">
        <values>
          <value t="str">
            <val/>
          </value>
        </values>
      </ddeItem>
      <ddeItem name="PAGE.2.127.5" advise="1">
        <values>
          <value t="str">
            <val/>
          </value>
        </values>
      </ddeItem>
      <ddeItem name="PAGE.2.127.6" advise="1">
        <values>
          <value t="str">
            <val/>
          </value>
        </values>
      </ddeItem>
      <ddeItem name="PAGE.2.127.7" advise="1">
        <values>
          <value t="str">
            <val>12:28:42</val>
          </value>
        </values>
      </ddeItem>
      <ddeItem name="PAGE.2.127.8" advise="1">
        <values>
          <value t="str">
            <val/>
          </value>
        </values>
      </ddeItem>
      <ddeItem name="PAGE.2.127.9" advise="1">
        <values>
          <value>
            <val>2.57</val>
          </value>
        </values>
      </ddeItem>
      <ddeItem name="PAGE.2.128.1" advise="1">
        <values>
          <value t="str">
            <val>17/12</val>
          </value>
        </values>
      </ddeItem>
      <ddeItem name="PAGE.2.128.10" advise="1">
        <values>
          <value t="str">
            <val/>
          </value>
        </values>
      </ddeItem>
      <ddeItem name="PAGE.2.128.11" advise="1">
        <values>
          <value t="str">
            <val>TRT160228T16_KESN_T1</val>
          </value>
        </values>
      </ddeItem>
      <ddeItem name="PAGE.2.128.2" advise="1">
        <values>
          <value t="str">
            <val>TRT160228T16</val>
          </value>
        </values>
      </ddeItem>
      <ddeItem name="PAGE.2.128.3" advise="1">
        <values>
          <value t="str">
            <val/>
          </value>
        </values>
      </ddeItem>
      <ddeItem name="PAGE.2.128.4" advise="1">
        <values>
          <value t="str">
            <val/>
          </value>
        </values>
      </ddeItem>
      <ddeItem name="PAGE.2.128.5" advise="1">
        <values>
          <value t="str">
            <val/>
          </value>
        </values>
      </ddeItem>
      <ddeItem name="PAGE.2.128.6" advise="1">
        <values>
          <value t="str">
            <val/>
          </value>
        </values>
      </ddeItem>
      <ddeItem name="PAGE.2.128.7" advise="1">
        <values>
          <value t="str">
            <val>12:28:58</val>
          </value>
        </values>
      </ddeItem>
      <ddeItem name="PAGE.2.128.8" advise="1">
        <values>
          <value t="str">
            <val/>
          </value>
        </values>
      </ddeItem>
      <ddeItem name="PAGE.2.128.9" advise="1">
        <values>
          <value>
            <val>2.9750000000000001</val>
          </value>
        </values>
      </ddeItem>
      <ddeItem name="PAGE.2.129.1" advise="1">
        <values>
          <value t="str">
            <val>17/12</val>
          </value>
        </values>
      </ddeItem>
      <ddeItem name="PAGE.2.129.10" advise="1">
        <values>
          <value t="str">
            <val/>
          </value>
        </values>
      </ddeItem>
      <ddeItem name="PAGE.2.129.11" advise="1">
        <values>
          <value t="str">
            <val>TRT090627T12_KESN_T1</val>
          </value>
        </values>
      </ddeItem>
      <ddeItem name="PAGE.2.129.2" advise="1">
        <values>
          <value t="str">
            <val>TRT090627T12</val>
          </value>
        </values>
      </ddeItem>
      <ddeItem name="PAGE.2.129.3" advise="1">
        <values>
          <value t="str">
            <val/>
          </value>
        </values>
      </ddeItem>
      <ddeItem name="PAGE.2.129.4" advise="1">
        <values>
          <value t="str">
            <val/>
          </value>
        </values>
      </ddeItem>
      <ddeItem name="PAGE.2.129.5" advise="1">
        <values>
          <value t="str">
            <val/>
          </value>
        </values>
      </ddeItem>
      <ddeItem name="PAGE.2.129.6" advise="1">
        <values>
          <value t="str">
            <val/>
          </value>
        </values>
      </ddeItem>
      <ddeItem name="PAGE.2.129.7" advise="1">
        <values>
          <value t="str">
            <val>12:50:46</val>
          </value>
        </values>
      </ddeItem>
      <ddeItem name="PAGE.2.129.8" advise="1">
        <values>
          <value t="str">
            <val/>
          </value>
        </values>
      </ddeItem>
      <ddeItem name="PAGE.2.129.9" advise="1">
        <values>
          <value>
            <val>0.388461538</val>
          </value>
        </values>
      </ddeItem>
      <ddeItem name="PAGE.2.13.1" advise="1">
        <values>
          <value t="str">
            <val>16/12</val>
          </value>
        </values>
      </ddeItem>
      <ddeItem name="PAGE.2.13.10" advise="1">
        <values>
          <value t="str">
            <val/>
          </value>
        </values>
      </ddeItem>
      <ddeItem name="PAGE.2.13.11" advise="1">
        <values>
          <value t="str">
            <val>TRDKTSK22625_KESN_T0</val>
          </value>
        </values>
      </ddeItem>
      <ddeItem name="PAGE.2.13.2" advise="1">
        <values>
          <value t="str">
            <val>TRDKTSK22625</val>
          </value>
        </values>
      </ddeItem>
      <ddeItem name="PAGE.2.13.3" advise="1">
        <values>
          <value t="str">
            <val/>
          </value>
        </values>
      </ddeItem>
      <ddeItem name="PAGE.2.13.4" advise="1">
        <values>
          <value t="str">
            <val/>
          </value>
        </values>
      </ddeItem>
      <ddeItem name="PAGE.2.13.5" advise="1">
        <values>
          <value t="str">
            <val/>
          </value>
        </values>
      </ddeItem>
      <ddeItem name="PAGE.2.13.6" advise="1">
        <values>
          <value t="str">
            <val/>
          </value>
        </values>
      </ddeItem>
      <ddeItem name="PAGE.2.13.7" advise="1">
        <values>
          <value t="str">
            <val>09:40:33</val>
          </value>
        </values>
      </ddeItem>
      <ddeItem name="PAGE.2.13.8" advise="1">
        <values>
          <value t="str">
            <val/>
          </value>
        </values>
      </ddeItem>
      <ddeItem name="PAGE.2.13.9" advise="1">
        <values>
          <value>
            <val>13.002742362999999</val>
          </value>
        </values>
      </ddeItem>
      <ddeItem name="PAGE.2.130.1" advise="1">
        <values>
          <value t="str">
            <val>16/12</val>
          </value>
        </values>
      </ddeItem>
      <ddeItem name="PAGE.2.130.10" advise="1">
        <values>
          <value t="str">
            <val/>
          </value>
        </values>
      </ddeItem>
      <ddeItem name="PAGE.2.130.11" advise="1">
        <values>
          <value t="str">
            <val>TRFSRMDE2617_KESN_T0</val>
          </value>
        </values>
      </ddeItem>
      <ddeItem name="PAGE.2.130.2" advise="1">
        <values>
          <value t="str">
            <val>TRFSRMDE2617</val>
          </value>
        </values>
      </ddeItem>
      <ddeItem name="PAGE.2.130.3" advise="1">
        <values>
          <value t="str">
            <val/>
          </value>
        </values>
      </ddeItem>
      <ddeItem name="PAGE.2.130.4" advise="1">
        <values>
          <value t="str">
            <val/>
          </value>
        </values>
      </ddeItem>
      <ddeItem name="PAGE.2.130.5" advise="1">
        <values>
          <value t="str">
            <val/>
          </value>
        </values>
      </ddeItem>
      <ddeItem name="PAGE.2.130.6" advise="1">
        <values>
          <value t="str">
            <val/>
          </value>
        </values>
      </ddeItem>
      <ddeItem name="PAGE.2.130.7" advise="1">
        <values>
          <value t="str">
            <val>12:40:04</val>
          </value>
        </values>
      </ddeItem>
      <ddeItem name="PAGE.2.130.8" advise="1">
        <values>
          <value t="str">
            <val/>
          </value>
        </values>
      </ddeItem>
      <ddeItem name="PAGE.2.130.9" advise="1">
        <values>
          <value t="str">
            <val/>
          </value>
        </values>
      </ddeItem>
      <ddeItem name="PAGE.2.131.1" advise="1">
        <values>
          <value t="str">
            <val>16/12</val>
          </value>
        </values>
      </ddeItem>
      <ddeItem name="PAGE.2.131.10" advise="1">
        <values>
          <value t="str">
            <val/>
          </value>
        </values>
      </ddeItem>
      <ddeItem name="PAGE.2.131.11" advise="1">
        <values>
          <value t="str">
            <val>TRFAKAD32614_KESN_T0</val>
          </value>
        </values>
      </ddeItem>
      <ddeItem name="PAGE.2.131.2" advise="1">
        <values>
          <value t="str">
            <val>TRFAKAD32614</val>
          </value>
        </values>
      </ddeItem>
      <ddeItem name="PAGE.2.131.3" advise="1">
        <values>
          <value t="str">
            <val/>
          </value>
        </values>
      </ddeItem>
      <ddeItem name="PAGE.2.131.4" advise="1">
        <values>
          <value t="str">
            <val/>
          </value>
        </values>
      </ddeItem>
      <ddeItem name="PAGE.2.131.5" advise="1">
        <values>
          <value t="str">
            <val/>
          </value>
        </values>
      </ddeItem>
      <ddeItem name="PAGE.2.131.6" advise="1">
        <values>
          <value t="str">
            <val/>
          </value>
        </values>
      </ddeItem>
      <ddeItem name="PAGE.2.131.7" advise="1">
        <values>
          <value t="str">
            <val>12:42:33</val>
          </value>
        </values>
      </ddeItem>
      <ddeItem name="PAGE.2.131.8" advise="1">
        <values>
          <value t="str">
            <val/>
          </value>
        </values>
      </ddeItem>
      <ddeItem name="PAGE.2.131.9" advise="1">
        <values>
          <value t="str">
            <val/>
          </value>
        </values>
      </ddeItem>
      <ddeItem name="PAGE.2.132.1" advise="1">
        <values>
          <value t="str">
            <val>16/12</val>
          </value>
        </values>
      </ddeItem>
      <ddeItem name="PAGE.2.132.10" advise="1">
        <values>
          <value>
            <val>111.48399999999999</val>
          </value>
        </values>
      </ddeItem>
      <ddeItem name="PAGE.2.132.11" advise="1">
        <values>
          <value t="str">
            <val>TRT050935T13_KESN_T0</val>
          </value>
        </values>
      </ddeItem>
      <ddeItem name="PAGE.2.132.2" advise="1">
        <values>
          <value t="str">
            <val>TRT050935T13</val>
          </value>
        </values>
      </ddeItem>
      <ddeItem name="PAGE.2.132.3" advise="1">
        <values>
          <value>
            <val>104.05200000000001</val>
          </value>
        </values>
      </ddeItem>
      <ddeItem name="PAGE.2.132.4" advise="1">
        <values>
          <value>
            <val>28.72</val>
          </value>
        </values>
      </ddeItem>
      <ddeItem name="PAGE.2.132.5" advise="1">
        <values>
          <value>
            <val>30.78</val>
          </value>
        </values>
      </ddeItem>
      <ddeItem name="PAGE.2.132.6" advise="1">
        <values>
          <value>
            <val>21000000</val>
          </value>
        </values>
      </ddeItem>
      <ddeItem name="PAGE.2.132.7" advise="1">
        <values>
          <value t="str">
            <val>13:43:01</val>
          </value>
        </values>
      </ddeItem>
      <ddeItem name="PAGE.2.132.8" advise="1">
        <values>
          <value>
            <val>23411807.699999999</val>
          </value>
        </values>
      </ddeItem>
      <ddeItem name="PAGE.2.132.9" advise="1">
        <values>
          <value>
            <val>7.4324175820000002</val>
          </value>
        </values>
      </ddeItem>
      <ddeItem name="PAGE.2.133.1" advise="1">
        <values>
          <value t="str">
            <val>16/12</val>
          </value>
        </values>
      </ddeItem>
      <ddeItem name="PAGE.2.133.10" advise="1">
        <values>
          <value>
            <val>105.968</val>
          </value>
        </values>
      </ddeItem>
      <ddeItem name="PAGE.2.133.11" advise="1">
        <values>
          <value t="str">
            <val>TRD170129T13_KESN_T0</val>
          </value>
        </values>
      </ddeItem>
      <ddeItem name="PAGE.2.133.2" advise="1">
        <values>
          <value t="str">
            <val>TRD170129T13</val>
          </value>
        </values>
      </ddeItem>
      <ddeItem name="PAGE.2.133.3" advise="1">
        <values>
          <value>
            <val>94.463999999999999</val>
          </value>
        </values>
      </ddeItem>
      <ddeItem name="PAGE.2.133.4" advise="1">
        <values>
          <value>
            <val>31.52</val>
          </value>
        </values>
      </ddeItem>
      <ddeItem name="PAGE.2.133.5" advise="1">
        <values>
          <value>
            <val>34</val>
          </value>
        </values>
      </ddeItem>
      <ddeItem name="PAGE.2.133.6" advise="1">
        <values>
          <value>
            <val>10000</val>
          </value>
        </values>
      </ddeItem>
      <ddeItem name="PAGE.2.133.7" advise="1">
        <values>
          <value t="str">
            <val>12:50:04</val>
          </value>
        </values>
      </ddeItem>
      <ddeItem name="PAGE.2.133.8" advise="1">
        <values>
          <value>
            <val>10596.75</val>
          </value>
        </values>
      </ddeItem>
      <ddeItem name="PAGE.2.133.9" advise="1">
        <values>
          <value>
            <val>11.503516484</val>
          </value>
        </values>
      </ddeItem>
      <ddeItem name="PAGE.2.134.1" advise="1">
        <values>
          <value t="str">
            <val>17/12</val>
          </value>
        </values>
      </ddeItem>
      <ddeItem name="PAGE.2.134.10" advise="1">
        <values>
          <value t="str">
            <val/>
          </value>
        </values>
      </ddeItem>
      <ddeItem name="PAGE.2.134.11" advise="1">
        <values>
          <value t="str">
            <val>TRT040729T14_KESN_T1</val>
          </value>
        </values>
      </ddeItem>
      <ddeItem name="PAGE.2.134.2" advise="1">
        <values>
          <value t="str">
            <val>TRT040729T14</val>
          </value>
        </values>
      </ddeItem>
      <ddeItem name="PAGE.2.134.3" advise="1">
        <values>
          <value t="str">
            <val/>
          </value>
        </values>
      </ddeItem>
      <ddeItem name="PAGE.2.134.4" advise="1">
        <values>
          <value t="str">
            <val/>
          </value>
        </values>
      </ddeItem>
      <ddeItem name="PAGE.2.134.5" advise="1">
        <values>
          <value t="str">
            <val/>
          </value>
        </values>
      </ddeItem>
      <ddeItem name="PAGE.2.134.6" advise="1">
        <values>
          <value t="str">
            <val/>
          </value>
        </values>
      </ddeItem>
      <ddeItem name="PAGE.2.134.7" advise="1">
        <values>
          <value t="str">
            <val>13:01:53</val>
          </value>
        </values>
      </ddeItem>
      <ddeItem name="PAGE.2.134.8" advise="1">
        <values>
          <value t="str">
            <val/>
          </value>
        </values>
      </ddeItem>
      <ddeItem name="PAGE.2.134.9" advise="1">
        <values>
          <value>
            <val>20.346153846</val>
          </value>
        </values>
      </ddeItem>
      <ddeItem name="PAGE.2.135.1" advise="1">
        <values>
          <value t="str">
            <val>16/12</val>
          </value>
        </values>
      </ddeItem>
      <ddeItem name="PAGE.2.135.10" advise="1">
        <values>
          <value>
            <val>118.30800000000001</val>
          </value>
        </values>
      </ddeItem>
      <ddeItem name="PAGE.2.135.11" advise="1">
        <values>
          <value t="str">
            <val>TRT100730T13_KESN_T0</val>
          </value>
        </values>
      </ddeItem>
      <ddeItem name="PAGE.2.135.2" advise="1">
        <values>
          <value t="str">
            <val>TRT100730T13</val>
          </value>
        </values>
      </ddeItem>
      <ddeItem name="PAGE.2.135.3" advise="1">
        <values>
          <value>
            <val>103.97499999999999</val>
          </value>
        </values>
      </ddeItem>
      <ddeItem name="PAGE.2.135.4" advise="1">
        <values>
          <value>
            <val>32.299999999999997</val>
          </value>
        </values>
      </ddeItem>
      <ddeItem name="PAGE.2.135.5" advise="1">
        <values>
          <value>
            <val>34.909999999999997</val>
          </value>
        </values>
      </ddeItem>
      <ddeItem name="PAGE.2.135.6" advise="1">
        <values>
          <value>
            <val>20000000</val>
          </value>
        </values>
      </ddeItem>
      <ddeItem name="PAGE.2.135.7" advise="1">
        <values>
          <value t="str">
            <val>13:38:25</val>
          </value>
        </values>
      </ddeItem>
      <ddeItem name="PAGE.2.135.8" advise="1">
        <values>
          <value>
            <val>23661648.350000001</val>
          </value>
        </values>
      </ddeItem>
      <ddeItem name="PAGE.2.135.9" advise="1">
        <values>
          <value>
            <val>14.333241758</val>
          </value>
        </values>
      </ddeItem>
      <ddeItem name="PAGE.2.136.1" advise="1">
        <values>
          <value t="str">
            <val>17/12</val>
          </value>
        </values>
      </ddeItem>
      <ddeItem name="PAGE.2.136.10" advise="1">
        <values>
          <value t="str">
            <val/>
          </value>
        </values>
      </ddeItem>
      <ddeItem name="PAGE.2.136.11" advise="1">
        <values>
          <value t="str">
            <val>TRT110930T10_KESN_T1</val>
          </value>
        </values>
      </ddeItem>
      <ddeItem name="PAGE.2.136.2" advise="1">
        <values>
          <value t="str">
            <val>TRT110930T10</val>
          </value>
        </values>
      </ddeItem>
      <ddeItem name="PAGE.2.136.3" advise="1">
        <values>
          <value t="str">
            <val/>
          </value>
        </values>
      </ddeItem>
      <ddeItem name="PAGE.2.136.4" advise="1">
        <values>
          <value t="str">
            <val/>
          </value>
        </values>
      </ddeItem>
      <ddeItem name="PAGE.2.136.5" advise="1">
        <values>
          <value t="str">
            <val/>
          </value>
        </values>
      </ddeItem>
      <ddeItem name="PAGE.2.136.6" advise="1">
        <values>
          <value t="str">
            <val/>
          </value>
        </values>
      </ddeItem>
      <ddeItem name="PAGE.2.136.7" advise="1">
        <values>
          <value t="str">
            <val>13:10:25</val>
          </value>
        </values>
      </ddeItem>
      <ddeItem name="PAGE.2.136.8" advise="1">
        <values>
          <value t="str">
            <val/>
          </value>
        </values>
      </ddeItem>
      <ddeItem name="PAGE.2.136.9" advise="1">
        <values>
          <value>
            <val>1.53</val>
          </value>
        </values>
      </ddeItem>
      <ddeItem name="PAGE.2.137.1" advise="1">
        <values>
          <value t="str">
            <val>16/12</val>
          </value>
        </values>
      </ddeItem>
      <ddeItem name="PAGE.2.137.10" advise="1">
        <values>
          <value t="str">
            <val/>
          </value>
        </values>
      </ddeItem>
      <ddeItem name="PAGE.2.137.11" advise="1">
        <values>
          <value t="str">
            <val>TRT081128T15_KESN_T0</val>
          </value>
        </values>
      </ddeItem>
      <ddeItem name="PAGE.2.137.2" advise="1">
        <values>
          <value t="str">
            <val>TRT081128T15</val>
          </value>
        </values>
      </ddeItem>
      <ddeItem name="PAGE.2.137.3" advise="1">
        <values>
          <value t="str">
            <val/>
          </value>
        </values>
      </ddeItem>
      <ddeItem name="PAGE.2.137.4" advise="1">
        <values>
          <value t="str">
            <val/>
          </value>
        </values>
      </ddeItem>
      <ddeItem name="PAGE.2.137.5" advise="1">
        <values>
          <value t="str">
            <val/>
          </value>
        </values>
      </ddeItem>
      <ddeItem name="PAGE.2.137.6" advise="1">
        <values>
          <value t="str">
            <val/>
          </value>
        </values>
      </ddeItem>
      <ddeItem name="PAGE.2.137.7" advise="1">
        <values>
          <value t="str">
            <val>13:58:50</val>
          </value>
        </values>
      </ddeItem>
      <ddeItem name="PAGE.2.137.8" advise="1">
        <values>
          <value t="str">
            <val/>
          </value>
        </values>
      </ddeItem>
      <ddeItem name="PAGE.2.137.9" advise="1">
        <values>
          <value>
            <val>2.903076923</val>
          </value>
        </values>
      </ddeItem>
      <ddeItem name="PAGE.2.138.1" advise="1">
        <values>
          <value t="str">
            <val>16/12</val>
          </value>
        </values>
      </ddeItem>
      <ddeItem name="PAGE.2.138.10" advise="1">
        <values>
          <value t="str">
            <val/>
          </value>
        </values>
      </ddeItem>
      <ddeItem name="PAGE.2.138.11" advise="1">
        <values>
          <value t="str">
            <val>TRFPTUN12620_KESN_T0</val>
          </value>
        </values>
      </ddeItem>
      <ddeItem name="PAGE.2.138.2" advise="1">
        <values>
          <value t="str">
            <val>TRFPTUN12620</val>
          </value>
        </values>
      </ddeItem>
      <ddeItem name="PAGE.2.138.3" advise="1">
        <values>
          <value t="str">
            <val/>
          </value>
        </values>
      </ddeItem>
      <ddeItem name="PAGE.2.138.4" advise="1">
        <values>
          <value t="str">
            <val/>
          </value>
        </values>
      </ddeItem>
      <ddeItem name="PAGE.2.138.5" advise="1">
        <values>
          <value t="str">
            <val/>
          </value>
        </values>
      </ddeItem>
      <ddeItem name="PAGE.2.138.6" advise="1">
        <values>
          <value t="str">
            <val/>
          </value>
        </values>
      </ddeItem>
      <ddeItem name="PAGE.2.138.7" advise="1">
        <values>
          <value t="str">
            <val>13:18:55</val>
          </value>
        </values>
      </ddeItem>
      <ddeItem name="PAGE.2.138.8" advise="1">
        <values>
          <value t="str">
            <val/>
          </value>
        </values>
      </ddeItem>
      <ddeItem name="PAGE.2.138.9" advise="1">
        <values>
          <value>
            <val>10.48766797</val>
          </value>
        </values>
      </ddeItem>
      <ddeItem name="PAGE.2.139.1" advise="1">
        <values>
          <value t="str">
            <val>16/12</val>
          </value>
        </values>
      </ddeItem>
      <ddeItem name="PAGE.2.139.10" advise="1">
        <values>
          <value t="str">
            <val/>
          </value>
        </values>
      </ddeItem>
      <ddeItem name="PAGE.2.139.11" advise="1">
        <values>
          <value t="str">
            <val>TRSCARFE2612_KESN_T0</val>
          </value>
        </values>
      </ddeItem>
      <ddeItem name="PAGE.2.139.2" advise="1">
        <values>
          <value t="str">
            <val>TRSCARFE2612</val>
          </value>
        </values>
      </ddeItem>
      <ddeItem name="PAGE.2.139.3" advise="1">
        <values>
          <value t="str">
            <val/>
          </value>
        </values>
      </ddeItem>
      <ddeItem name="PAGE.2.139.4" advise="1">
        <values>
          <value t="str">
            <val/>
          </value>
        </values>
      </ddeItem>
      <ddeItem name="PAGE.2.139.5" advise="1">
        <values>
          <value t="str">
            <val/>
          </value>
        </values>
      </ddeItem>
      <ddeItem name="PAGE.2.139.6" advise="1">
        <values>
          <value t="str">
            <val/>
          </value>
        </values>
      </ddeItem>
      <ddeItem name="PAGE.2.139.7" advise="1">
        <values>
          <value t="str">
            <val>13:23:07</val>
          </value>
        </values>
      </ddeItem>
      <ddeItem name="PAGE.2.139.8" advise="1">
        <values>
          <value t="str">
            <val/>
          </value>
        </values>
      </ddeItem>
      <ddeItem name="PAGE.2.139.9" advise="1">
        <values>
          <value t="str">
            <val/>
          </value>
        </values>
      </ddeItem>
      <ddeItem name="PAGE.2.14.1" advise="1">
        <values>
          <value t="str">
            <val>16/12</val>
          </value>
        </values>
      </ddeItem>
      <ddeItem name="PAGE.2.14.10" advise="1">
        <values>
          <value t="str">
            <val/>
          </value>
        </values>
      </ddeItem>
      <ddeItem name="PAGE.2.14.11" advise="1">
        <values>
          <value t="str">
            <val>TRDKTSK12618_KESN_T0</val>
          </value>
        </values>
      </ddeItem>
      <ddeItem name="PAGE.2.14.2" advise="1">
        <values>
          <value t="str">
            <val>TRDKTSK12618</val>
          </value>
        </values>
      </ddeItem>
      <ddeItem name="PAGE.2.14.3" advise="1">
        <values>
          <value t="str">
            <val/>
          </value>
        </values>
      </ddeItem>
      <ddeItem name="PAGE.2.14.4" advise="1">
        <values>
          <value t="str">
            <val/>
          </value>
        </values>
      </ddeItem>
      <ddeItem name="PAGE.2.14.5" advise="1">
        <values>
          <value t="str">
            <val/>
          </value>
        </values>
      </ddeItem>
      <ddeItem name="PAGE.2.14.6" advise="1">
        <values>
          <value t="str">
            <val/>
          </value>
        </values>
      </ddeItem>
      <ddeItem name="PAGE.2.14.7" advise="1">
        <values>
          <value t="str">
            <val>09:40:33</val>
          </value>
        </values>
      </ddeItem>
      <ddeItem name="PAGE.2.14.8" advise="1">
        <values>
          <value t="str">
            <val/>
          </value>
        </values>
      </ddeItem>
      <ddeItem name="PAGE.2.14.9" advise="1">
        <values>
          <value>
            <val>24.567125122</val>
          </value>
        </values>
      </ddeItem>
      <ddeItem name="PAGE.2.140.1" advise="1">
        <values>
          <value t="str">
            <val>16/12</val>
          </value>
        </values>
      </ddeItem>
      <ddeItem name="PAGE.2.140.10" advise="1">
        <values>
          <value t="str">
            <val/>
          </value>
        </values>
      </ddeItem>
      <ddeItem name="PAGE.2.140.11" advise="1">
        <values>
          <value t="str">
            <val>TRDZKVKA2538_KESN_T0</val>
          </value>
        </values>
      </ddeItem>
      <ddeItem name="PAGE.2.140.2" advise="1">
        <values>
          <value t="str">
            <val>TRDZKVKA2538</val>
          </value>
        </values>
      </ddeItem>
      <ddeItem name="PAGE.2.140.3" advise="1">
        <values>
          <value t="str">
            <val/>
          </value>
        </values>
      </ddeItem>
      <ddeItem name="PAGE.2.140.4" advise="1">
        <values>
          <value t="str">
            <val/>
          </value>
        </values>
      </ddeItem>
      <ddeItem name="PAGE.2.140.5" advise="1">
        <values>
          <value t="str">
            <val/>
          </value>
        </values>
      </ddeItem>
      <ddeItem name="PAGE.2.140.6" advise="1">
        <values>
          <value t="str">
            <val/>
          </value>
        </values>
      </ddeItem>
      <ddeItem name="PAGE.2.140.7" advise="1">
        <values>
          <value t="str">
            <val>13:28:55</val>
          </value>
        </values>
      </ddeItem>
      <ddeItem name="PAGE.2.140.8" advise="1">
        <values>
          <value t="str">
            <val/>
          </value>
        </values>
      </ddeItem>
      <ddeItem name="PAGE.2.140.9" advise="1">
        <values>
          <value>
            <val>9.5095857729999995</val>
          </value>
        </values>
      </ddeItem>
      <ddeItem name="PAGE.2.141.1" advise="1">
        <values>
          <value t="str">
            <val>16/12</val>
          </value>
        </values>
      </ddeItem>
      <ddeItem name="PAGE.2.141.10" advise="1">
        <values>
          <value>
            <val>106.25700000000001</val>
          </value>
        </values>
      </ddeItem>
      <ddeItem name="PAGE.2.141.11" advise="1">
        <values>
          <value t="str">
            <val>TRD060526T15_KESN_T0</val>
          </value>
        </values>
      </ddeItem>
      <ddeItem name="PAGE.2.141.2" advise="1">
        <values>
          <value t="str">
            <val>TRD060526T15</val>
          </value>
        </values>
      </ddeItem>
      <ddeItem name="PAGE.2.141.3" advise="1">
        <values>
          <value>
            <val>101.65</val>
          </value>
        </values>
      </ddeItem>
      <ddeItem name="PAGE.2.141.4" advise="1">
        <values>
          <value>
            <val>34.58</val>
          </value>
        </values>
      </ddeItem>
      <ddeItem name="PAGE.2.141.5" advise="1">
        <values>
          <value>
            <val>38.340000000000003</val>
          </value>
        </values>
      </ddeItem>
      <ddeItem name="PAGE.2.141.6" advise="1">
        <values>
          <value>
            <val>400000</val>
          </value>
        </values>
      </ddeItem>
      <ddeItem name="PAGE.2.141.7" advise="1">
        <values>
          <value t="str">
            <val>13:48:45</val>
          </value>
        </values>
      </ddeItem>
      <ddeItem name="PAGE.2.141.8" advise="1">
        <values>
          <value>
            <val>425027.47</val>
          </value>
        </values>
      </ddeItem>
      <ddeItem name="PAGE.2.141.9" advise="1">
        <values>
          <value>
            <val>4.6068681319999998</val>
          </value>
        </values>
      </ddeItem>
      <ddeItem name="PAGE.2.15.1" advise="1">
        <values>
          <value t="str">
            <val>16/12</val>
          </value>
        </values>
      </ddeItem>
      <ddeItem name="PAGE.2.15.10" advise="1">
        <values>
          <value t="str">
            <val/>
          </value>
        </values>
      </ddeItem>
      <ddeItem name="PAGE.2.15.11" advise="1">
        <values>
          <value t="str">
            <val>TRDEMVK12628_KESN_T0</val>
          </value>
        </values>
      </ddeItem>
      <ddeItem name="PAGE.2.15.2" advise="1">
        <values>
          <value t="str">
            <val>TRDEMVK12628</val>
          </value>
        </values>
      </ddeItem>
      <ddeItem name="PAGE.2.15.3" advise="1">
        <values>
          <value t="str">
            <val/>
          </value>
        </values>
      </ddeItem>
      <ddeItem name="PAGE.2.15.4" advise="1">
        <values>
          <value t="str">
            <val/>
          </value>
        </values>
      </ddeItem>
      <ddeItem name="PAGE.2.15.5" advise="1">
        <values>
          <value t="str">
            <val/>
          </value>
        </values>
      </ddeItem>
      <ddeItem name="PAGE.2.15.6" advise="1">
        <values>
          <value t="str">
            <val/>
          </value>
        </values>
      </ddeItem>
      <ddeItem name="PAGE.2.15.7" advise="1">
        <values>
          <value t="str">
            <val>09:40:33</val>
          </value>
        </values>
      </ddeItem>
      <ddeItem name="PAGE.2.15.8" advise="1">
        <values>
          <value t="str">
            <val/>
          </value>
        </values>
      </ddeItem>
      <ddeItem name="PAGE.2.15.9" advise="1">
        <values>
          <value>
            <val>7.5260244680000001</val>
          </value>
        </values>
      </ddeItem>
      <ddeItem name="PAGE.2.16.1" advise="1">
        <values>
          <value t="str">
            <val>16/12</val>
          </value>
        </values>
      </ddeItem>
      <ddeItem name="PAGE.2.16.10" advise="1">
        <values>
          <value t="str">
            <val/>
          </value>
        </values>
      </ddeItem>
      <ddeItem name="PAGE.2.16.11" advise="1">
        <values>
          <value t="str">
            <val>TRDEMVK12610_KESN_T0</val>
          </value>
        </values>
      </ddeItem>
      <ddeItem name="PAGE.2.16.2" advise="1">
        <values>
          <value t="str">
            <val>TRDEMVK12610</val>
          </value>
        </values>
      </ddeItem>
      <ddeItem name="PAGE.2.16.3" advise="1">
        <values>
          <value t="str">
            <val/>
          </value>
        </values>
      </ddeItem>
      <ddeItem name="PAGE.2.16.4" advise="1">
        <values>
          <value t="str">
            <val/>
          </value>
        </values>
      </ddeItem>
      <ddeItem name="PAGE.2.16.5" advise="1">
        <values>
          <value t="str">
            <val/>
          </value>
        </values>
      </ddeItem>
      <ddeItem name="PAGE.2.16.6" advise="1">
        <values>
          <value t="str">
            <val/>
          </value>
        </values>
      </ddeItem>
      <ddeItem name="PAGE.2.16.7" advise="1">
        <values>
          <value t="str">
            <val>09:40:33</val>
          </value>
        </values>
      </ddeItem>
      <ddeItem name="PAGE.2.16.8" advise="1">
        <values>
          <value t="str">
            <val/>
          </value>
        </values>
      </ddeItem>
      <ddeItem name="PAGE.2.16.9" advise="1">
        <values>
          <value>
            <val>7.0684914890000003</val>
          </value>
        </values>
      </ddeItem>
      <ddeItem name="PAGE.2.17.1" advise="1">
        <values>
          <value t="str">
            <val>16/12</val>
          </value>
        </values>
      </ddeItem>
      <ddeItem name="PAGE.2.17.10" advise="1">
        <values>
          <value t="str">
            <val/>
          </value>
        </values>
      </ddeItem>
      <ddeItem name="PAGE.2.17.11" advise="1">
        <values>
          <value t="str">
            <val>TRDEMVK12651_KESN_T0</val>
          </value>
        </values>
      </ddeItem>
      <ddeItem name="PAGE.2.17.2" advise="1">
        <values>
          <value t="str">
            <val>TRDEMVK12651</val>
          </value>
        </values>
      </ddeItem>
      <ddeItem name="PAGE.2.17.3" advise="1">
        <values>
          <value t="str">
            <val/>
          </value>
        </values>
      </ddeItem>
      <ddeItem name="PAGE.2.17.4" advise="1">
        <values>
          <value t="str">
            <val/>
          </value>
        </values>
      </ddeItem>
      <ddeItem name="PAGE.2.17.5" advise="1">
        <values>
          <value t="str">
            <val/>
          </value>
        </values>
      </ddeItem>
      <ddeItem name="PAGE.2.17.6" advise="1">
        <values>
          <value t="str">
            <val/>
          </value>
        </values>
      </ddeItem>
      <ddeItem name="PAGE.2.17.7" advise="1">
        <values>
          <value t="str">
            <val>09:40:33</val>
          </value>
        </values>
      </ddeItem>
      <ddeItem name="PAGE.2.17.8" advise="1">
        <values>
          <value t="str">
            <val/>
          </value>
        </values>
      </ddeItem>
      <ddeItem name="PAGE.2.17.9" advise="1">
        <values>
          <value>
            <val>6.6575314289999996</val>
          </value>
        </values>
      </ddeItem>
      <ddeItem name="PAGE.2.18.1" advise="1">
        <values>
          <value t="str">
            <val>16/12</val>
          </value>
        </values>
      </ddeItem>
      <ddeItem name="PAGE.2.18.10" advise="1">
        <values>
          <value t="str">
            <val/>
          </value>
        </values>
      </ddeItem>
      <ddeItem name="PAGE.2.18.11" advise="1">
        <values>
          <value t="str">
            <val>TRDEVKS22624_KESN_T0</val>
          </value>
        </values>
      </ddeItem>
      <ddeItem name="PAGE.2.18.2" advise="1">
        <values>
          <value t="str">
            <val>TRDEVKS22624</val>
          </value>
        </values>
      </ddeItem>
      <ddeItem name="PAGE.2.18.3" advise="1">
        <values>
          <value t="str">
            <val/>
          </value>
        </values>
      </ddeItem>
      <ddeItem name="PAGE.2.18.4" advise="1">
        <values>
          <value t="str">
            <val/>
          </value>
        </values>
      </ddeItem>
      <ddeItem name="PAGE.2.18.5" advise="1">
        <values>
          <value t="str">
            <val/>
          </value>
        </values>
      </ddeItem>
      <ddeItem name="PAGE.2.18.6" advise="1">
        <values>
          <value t="str">
            <val/>
          </value>
        </values>
      </ddeItem>
      <ddeItem name="PAGE.2.18.7" advise="1">
        <values>
          <value t="str">
            <val>09:40:33</val>
          </value>
        </values>
      </ddeItem>
      <ddeItem name="PAGE.2.18.8" advise="1">
        <values>
          <value t="str">
            <val/>
          </value>
        </values>
      </ddeItem>
      <ddeItem name="PAGE.2.18.9" advise="1">
        <values>
          <value>
            <val>4.7260256250000001</val>
          </value>
        </values>
      </ddeItem>
      <ddeItem name="PAGE.2.19.1" advise="1">
        <values>
          <value t="str">
            <val>16/12</val>
          </value>
        </values>
      </ddeItem>
      <ddeItem name="PAGE.2.19.10" advise="1">
        <values>
          <value t="str">
            <val/>
          </value>
        </values>
      </ddeItem>
      <ddeItem name="PAGE.2.19.11" advise="1">
        <values>
          <value t="str">
            <val>TRSSKBKA2716_KESN_T0</val>
          </value>
        </values>
      </ddeItem>
      <ddeItem name="PAGE.2.19.2" advise="1">
        <values>
          <value t="str">
            <val>TRSSKBKA2716</val>
          </value>
        </values>
      </ddeItem>
      <ddeItem name="PAGE.2.19.3" advise="1">
        <values>
          <value t="str">
            <val/>
          </value>
        </values>
      </ddeItem>
      <ddeItem name="PAGE.2.19.4" advise="1">
        <values>
          <value t="str">
            <val/>
          </value>
        </values>
      </ddeItem>
      <ddeItem name="PAGE.2.19.5" advise="1">
        <values>
          <value t="str">
            <val/>
          </value>
        </values>
      </ddeItem>
      <ddeItem name="PAGE.2.19.6" advise="1">
        <values>
          <value t="str">
            <val/>
          </value>
        </values>
      </ddeItem>
      <ddeItem name="PAGE.2.19.7" advise="1">
        <values>
          <value t="str">
            <val>09:44:14</val>
          </value>
        </values>
      </ddeItem>
      <ddeItem name="PAGE.2.19.8" advise="1">
        <values>
          <value t="str">
            <val/>
          </value>
        </values>
      </ddeItem>
      <ddeItem name="PAGE.2.19.9" advise="1">
        <values>
          <value>
            <val>0.38064516100000001</val>
          </value>
        </values>
      </ddeItem>
      <ddeItem name="PAGE.2.2.1" advise="1">
        <values>
          <value t="str">
            <val>16/12</val>
          </value>
        </values>
      </ddeItem>
      <ddeItem name="PAGE.2.2.10" advise="1">
        <values>
          <value>
            <val>100.336</val>
          </value>
        </values>
      </ddeItem>
      <ddeItem name="PAGE.2.2.11" advise="1">
        <values>
          <value t="str">
            <val>TRT060928T11_KESN_T0</val>
          </value>
        </values>
      </ddeItem>
      <ddeItem name="PAGE.2.2.2" advise="1">
        <values>
          <value t="str">
            <val>TRT060928T11</val>
          </value>
        </values>
      </ddeItem>
      <ddeItem name="PAGE.2.2.3" advise="1">
        <values>
          <value>
            <val>99.7</val>
          </value>
        </values>
      </ddeItem>
      <ddeItem name="PAGE.2.2.4" advise="1">
        <values>
          <value t="str">
            <val/>
          </value>
        </values>
      </ddeItem>
      <ddeItem name="PAGE.2.2.5" advise="1">
        <values>
          <value t="str">
            <val/>
          </value>
        </values>
      </ddeItem>
      <ddeItem name="PAGE.2.2.6" advise="1">
        <values>
          <value>
            <val>210000000</val>
          </value>
        </values>
      </ddeItem>
      <ddeItem name="PAGE.2.2.7" advise="1">
        <values>
          <value t="str">
            <val>13:55:16</val>
          </value>
        </values>
      </ddeItem>
      <ddeItem name="PAGE.2.2.8" advise="1">
        <values>
          <value>
            <val>210704781.44</val>
          </value>
        </values>
      </ddeItem>
      <ddeItem name="PAGE.2.2.9" advise="1">
        <values>
          <value>
            <val>0.63572925899999999</val>
          </value>
        </values>
      </ddeItem>
      <ddeItem name="PAGE.2.20.1" advise="1">
        <values>
          <value t="str">
            <val>16/12</val>
          </value>
        </values>
      </ddeItem>
      <ddeItem name="PAGE.2.20.10" advise="1">
        <values>
          <value t="str">
            <val/>
          </value>
        </values>
      </ddeItem>
      <ddeItem name="PAGE.2.20.11" advise="1">
        <values>
          <value t="str">
            <val>TRSSKBK52818_KESN_T0</val>
          </value>
        </values>
      </ddeItem>
      <ddeItem name="PAGE.2.20.2" advise="1">
        <values>
          <value t="str">
            <val>TRSSKBK52818</val>
          </value>
        </values>
      </ddeItem>
      <ddeItem name="PAGE.2.20.3" advise="1">
        <values>
          <value t="str">
            <val/>
          </value>
        </values>
      </ddeItem>
      <ddeItem name="PAGE.2.20.4" advise="1">
        <values>
          <value t="str">
            <val/>
          </value>
        </values>
      </ddeItem>
      <ddeItem name="PAGE.2.20.5" advise="1">
        <values>
          <value t="str">
            <val/>
          </value>
        </values>
      </ddeItem>
      <ddeItem name="PAGE.2.20.6" advise="1">
        <values>
          <value t="str">
            <val/>
          </value>
        </values>
      </ddeItem>
      <ddeItem name="PAGE.2.20.7" advise="1">
        <values>
          <value t="str">
            <val>09:42:36</val>
          </value>
        </values>
      </ddeItem>
      <ddeItem name="PAGE.2.20.8" advise="1">
        <values>
          <value t="str">
            <val/>
          </value>
        </values>
      </ddeItem>
      <ddeItem name="PAGE.2.20.9" advise="1">
        <values>
          <value>
            <val>0.38064516100000001</val>
          </value>
        </values>
      </ddeItem>
      <ddeItem name="PAGE.2.21.1" advise="1">
        <values>
          <value t="str">
            <val>16/12</val>
          </value>
        </values>
      </ddeItem>
      <ddeItem name="PAGE.2.21.10" advise="1">
        <values>
          <value>
            <val>107.732</val>
          </value>
        </values>
      </ddeItem>
      <ddeItem name="PAGE.2.21.11" advise="1">
        <values>
          <value t="str">
            <val>TRD061027T33_KESN_T0</val>
          </value>
        </values>
      </ddeItem>
      <ddeItem name="PAGE.2.21.2" advise="1">
        <values>
          <value t="str">
            <val>TRD061027T33</val>
          </value>
        </values>
      </ddeItem>
      <ddeItem name="PAGE.2.21.3" advise="1">
        <values>
          <value>
            <val>100.15</val>
          </value>
        </values>
      </ddeItem>
      <ddeItem name="PAGE.2.21.4" advise="1">
        <values>
          <value t="str">
            <val/>
          </value>
        </values>
      </ddeItem>
      <ddeItem name="PAGE.2.21.5" advise="1">
        <values>
          <value t="str">
            <val/>
          </value>
        </values>
      </ddeItem>
      <ddeItem name="PAGE.2.21.6" advise="1">
        <values>
          <value>
            <val>45000000</val>
          </value>
        </values>
      </ddeItem>
      <ddeItem name="PAGE.2.21.7" advise="1">
        <values>
          <value t="str">
            <val>11:55:31</val>
          </value>
        </values>
      </ddeItem>
      <ddeItem name="PAGE.2.21.8" advise="1">
        <values>
          <value>
            <val>48479587.920000002</val>
          </value>
        </values>
      </ddeItem>
      <ddeItem name="PAGE.2.21.9" advise="1">
        <values>
          <value>
            <val>7.5824175819999997</val>
          </value>
        </values>
      </ddeItem>
      <ddeItem name="PAGE.2.22.1" advise="1">
        <values>
          <value t="str">
            <val>16/12</val>
          </value>
        </values>
      </ddeItem>
      <ddeItem name="PAGE.2.22.10" advise="1">
        <values>
          <value t="str">
            <val/>
          </value>
        </values>
      </ddeItem>
      <ddeItem name="PAGE.2.22.11" advise="1">
        <values>
          <value t="str">
            <val>TRD171127T13_KESN_T0</val>
          </value>
        </values>
      </ddeItem>
      <ddeItem name="PAGE.2.22.2" advise="1">
        <values>
          <value t="str">
            <val>TRD171127T13</val>
          </value>
        </values>
      </ddeItem>
      <ddeItem name="PAGE.2.22.3" advise="1">
        <values>
          <value t="str">
            <val/>
          </value>
        </values>
      </ddeItem>
      <ddeItem name="PAGE.2.22.4" advise="1">
        <values>
          <value t="str">
            <val/>
          </value>
        </values>
      </ddeItem>
      <ddeItem name="PAGE.2.22.5" advise="1">
        <values>
          <value t="str">
            <val/>
          </value>
        </values>
      </ddeItem>
      <ddeItem name="PAGE.2.22.6" advise="1">
        <values>
          <value t="str">
            <val/>
          </value>
        </values>
      </ddeItem>
      <ddeItem name="PAGE.2.22.7" advise="1">
        <values>
          <value t="str">
            <val>10:10:00</val>
          </value>
        </values>
      </ddeItem>
      <ddeItem name="PAGE.2.22.8" advise="1">
        <values>
          <value t="str">
            <val/>
          </value>
        </values>
      </ddeItem>
      <ddeItem name="PAGE.2.22.9" advise="1">
        <values>
          <value>
            <val>2.818681319</val>
          </value>
        </values>
      </ddeItem>
      <ddeItem name="PAGE.2.23.1" advise="1">
        <values>
          <value t="str">
            <val>16/12</val>
          </value>
        </values>
      </ddeItem>
      <ddeItem name="PAGE.2.23.10" advise="1">
        <values>
          <value>
            <val>92.769000000000005</val>
          </value>
        </values>
      </ddeItem>
      <ddeItem name="PAGE.2.23.11" advise="1">
        <values>
          <value t="str">
            <val>TRB110326T12_KESN_T0</val>
          </value>
        </values>
      </ddeItem>
      <ddeItem name="PAGE.2.23.2" advise="1">
        <values>
          <value t="str">
            <val>TRB110326T12</val>
          </value>
        </values>
      </ddeItem>
      <ddeItem name="PAGE.2.23.3" advise="1">
        <values>
          <value>
            <val>92.769000000000005</val>
          </value>
        </values>
      </ddeItem>
      <ddeItem name="PAGE.2.23.4" advise="1">
        <values>
          <value>
            <val>33.47</val>
          </value>
        </values>
      </ddeItem>
      <ddeItem name="PAGE.2.23.5" advise="1">
        <values>
          <value>
            <val>38.03</val>
          </value>
        </values>
      </ddeItem>
      <ddeItem name="PAGE.2.23.6" advise="1">
        <values>
          <value>
            <val>29000000</val>
          </value>
        </values>
      </ddeItem>
      <ddeItem name="PAGE.2.23.7" advise="1">
        <values>
          <value t="str">
            <val>13:49:36</val>
          </value>
        </values>
      </ddeItem>
      <ddeItem name="PAGE.2.23.8" advise="1">
        <values>
          <value>
            <val>26903131.699999999</val>
          </value>
        </values>
      </ddeItem>
      <ddeItem name="PAGE.2.23.9" advise="1">
        <values>
          <value t="str">
            <val/>
          </value>
        </values>
      </ddeItem>
      <ddeItem name="PAGE.2.24.1" advise="1">
        <values>
          <value t="str">
            <val>17/12</val>
          </value>
        </values>
      </ddeItem>
      <ddeItem name="PAGE.2.24.10" advise="1">
        <values>
          <value>
            <val>81.637</val>
          </value>
        </values>
      </ddeItem>
      <ddeItem name="PAGE.2.24.11" advise="1">
        <values>
          <value t="str">
            <val>TRT190728T18_KESN_T1</val>
          </value>
        </values>
      </ddeItem>
      <ddeItem name="PAGE.2.24.2" advise="1">
        <values>
          <value t="str">
            <val>TRT190728T18</val>
          </value>
        </values>
      </ddeItem>
      <ddeItem name="PAGE.2.24.3" advise="1">
        <values>
          <value>
            <val>74.650000000000006</val>
          </value>
        </values>
      </ddeItem>
      <ddeItem name="PAGE.2.24.4" advise="1">
        <values>
          <value>
            <val>32.409999999999997</val>
          </value>
        </values>
      </ddeItem>
      <ddeItem name="PAGE.2.24.5" advise="1">
        <values>
          <value>
            <val>35.04</val>
          </value>
        </values>
      </ddeItem>
      <ddeItem name="PAGE.2.24.6" advise="1">
        <values>
          <value>
            <val>101000000</val>
          </value>
        </values>
      </ddeItem>
      <ddeItem name="PAGE.2.24.7" advise="1">
        <values>
          <value t="str">
            <val>13:36:12</val>
          </value>
        </values>
      </ddeItem>
      <ddeItem name="PAGE.2.24.8" advise="1">
        <values>
          <value>
            <val>82452903.840000004</val>
          </value>
        </values>
      </ddeItem>
      <ddeItem name="PAGE.2.24.9" advise="1">
        <values>
          <value>
            <val>6.9865384620000004</val>
          </value>
        </values>
      </ddeItem>
      <ddeItem name="PAGE.2.25.1" advise="1">
        <values>
          <value t="str">
            <val>17/12</val>
          </value>
        </values>
      </ddeItem>
      <ddeItem name="PAGE.2.25.10" advise="1">
        <values>
          <value t="str">
            <val/>
          </value>
        </values>
      </ddeItem>
      <ddeItem name="PAGE.2.25.11" advise="1">
        <values>
          <value t="str">
            <val>TRT160627T13_KESN_T1</val>
          </value>
        </values>
      </ddeItem>
      <ddeItem name="PAGE.2.25.2" advise="1">
        <values>
          <value t="str">
            <val>TRT160627T13</val>
          </value>
        </values>
      </ddeItem>
      <ddeItem name="PAGE.2.25.3" advise="1">
        <values>
          <value t="str">
            <val/>
          </value>
        </values>
      </ddeItem>
      <ddeItem name="PAGE.2.25.4" advise="1">
        <values>
          <value t="str">
            <val/>
          </value>
        </values>
      </ddeItem>
      <ddeItem name="PAGE.2.25.5" advise="1">
        <values>
          <value t="str">
            <val/>
          </value>
        </values>
      </ddeItem>
      <ddeItem name="PAGE.2.25.6" advise="1">
        <values>
          <value t="str">
            <val/>
          </value>
        </values>
      </ddeItem>
      <ddeItem name="PAGE.2.25.7" advise="1">
        <values>
          <value t="str">
            <val>14:04:16</val>
          </value>
        </values>
      </ddeItem>
      <ddeItem name="PAGE.2.25.8" advise="1">
        <values>
          <value t="str">
            <val/>
          </value>
        </values>
      </ddeItem>
      <ddeItem name="PAGE.2.25.9" advise="1">
        <values>
          <value>
            <val>0</val>
          </value>
        </values>
      </ddeItem>
      <ddeItem name="PAGE.2.26.1" advise="1">
        <values>
          <value t="str">
            <val>17/12</val>
          </value>
        </values>
      </ddeItem>
      <ddeItem name="PAGE.2.26.10" advise="1">
        <values>
          <value>
            <val>96.478999999999999</val>
          </value>
        </values>
      </ddeItem>
      <ddeItem name="PAGE.2.26.11" advise="1">
        <values>
          <value t="str">
            <val>TRT051033T12_KESN_T1</val>
          </value>
        </values>
      </ddeItem>
      <ddeItem name="PAGE.2.26.2" advise="1">
        <values>
          <value t="str">
            <val>TRT051033T12</val>
          </value>
        </values>
      </ddeItem>
      <ddeItem name="PAGE.2.26.3" advise="1">
        <values>
          <value>
            <val>91.944000000000003</val>
          </value>
        </values>
      </ddeItem>
      <ddeItem name="PAGE.2.26.4" advise="1">
        <values>
          <value>
            <val>28.77</val>
          </value>
        </values>
      </ddeItem>
      <ddeItem name="PAGE.2.26.5" advise="1">
        <values>
          <value>
            <val>30.84</val>
          </value>
        </values>
      </ddeItem>
      <ddeItem name="PAGE.2.26.6" advise="1">
        <values>
          <value>
            <val>258000000</val>
          </value>
        </values>
      </ddeItem>
      <ddeItem name="PAGE.2.26.7" advise="1">
        <values>
          <value t="str">
            <val>14:05:24</val>
          </value>
        </values>
      </ddeItem>
      <ddeItem name="PAGE.2.26.8" advise="1">
        <values>
          <value>
            <val>248914807.68000001</val>
          </value>
        </values>
      </ddeItem>
      <ddeItem name="PAGE.2.26.9" advise="1">
        <values>
          <value>
            <val>4.5346153850000004</val>
          </value>
        </values>
      </ddeItem>
      <ddeItem name="PAGE.2.27.1" advise="1">
        <values>
          <value t="str">
            <val>17/12</val>
          </value>
        </values>
      </ddeItem>
      <ddeItem name="PAGE.2.27.10" advise="1">
        <values>
          <value t="str">
            <val/>
          </value>
        </values>
      </ddeItem>
      <ddeItem name="PAGE.2.27.11" advise="1">
        <values>
          <value t="str">
            <val>TRT160431T19_KESN_T1</val>
          </value>
        </values>
      </ddeItem>
      <ddeItem name="PAGE.2.27.2" advise="1">
        <values>
          <value t="str">
            <val>TRT160431T19</val>
          </value>
        </values>
      </ddeItem>
      <ddeItem name="PAGE.2.27.3" advise="1">
        <values>
          <value t="str">
            <val/>
          </value>
        </values>
      </ddeItem>
      <ddeItem name="PAGE.2.27.4" advise="1">
        <values>
          <value t="str">
            <val/>
          </value>
        </values>
      </ddeItem>
      <ddeItem name="PAGE.2.27.5" advise="1">
        <values>
          <value t="str">
            <val/>
          </value>
        </values>
      </ddeItem>
      <ddeItem name="PAGE.2.27.6" advise="1">
        <values>
          <value t="str">
            <val/>
          </value>
        </values>
      </ddeItem>
      <ddeItem name="PAGE.2.27.7" advise="1">
        <values>
          <value t="str">
            <val>13:33:35</val>
          </value>
        </values>
      </ddeItem>
      <ddeItem name="PAGE.2.27.8" advise="1">
        <values>
          <value t="str">
            <val/>
          </value>
        </values>
      </ddeItem>
      <ddeItem name="PAGE.2.27.9" advise="1">
        <values>
          <value>
            <val>5.7169230769999997</val>
          </value>
        </values>
      </ddeItem>
      <ddeItem name="PAGE.2.28.1" advise="1">
        <values>
          <value t="str">
            <val>17/12</val>
          </value>
        </values>
      </ddeItem>
      <ddeItem name="PAGE.2.28.10" advise="1">
        <values>
          <value t="str">
            <val/>
          </value>
        </values>
      </ddeItem>
      <ddeItem name="PAGE.2.28.11" advise="1">
        <values>
          <value t="str">
            <val>TRT020529T18_KESN_T1</val>
          </value>
        </values>
      </ddeItem>
      <ddeItem name="PAGE.2.28.2" advise="1">
        <values>
          <value t="str">
            <val>TRT020529T18</val>
          </value>
        </values>
      </ddeItem>
      <ddeItem name="PAGE.2.28.3" advise="1">
        <values>
          <value t="str">
            <val/>
          </value>
        </values>
      </ddeItem>
      <ddeItem name="PAGE.2.28.4" advise="1">
        <values>
          <value t="str">
            <val/>
          </value>
        </values>
      </ddeItem>
      <ddeItem name="PAGE.2.28.5" advise="1">
        <values>
          <value t="str">
            <val/>
          </value>
        </values>
      </ddeItem>
      <ddeItem name="PAGE.2.28.6" advise="1">
        <values>
          <value t="str">
            <val/>
          </value>
        </values>
      </ddeItem>
      <ddeItem name="PAGE.2.28.7" advise="1">
        <values>
          <value t="str">
            <val>14:05:24</val>
          </value>
        </values>
      </ddeItem>
      <ddeItem name="PAGE.2.28.8" advise="1">
        <values>
          <value t="str">
            <val/>
          </value>
        </values>
      </ddeItem>
      <ddeItem name="PAGE.2.28.9" advise="1">
        <values>
          <value>
            <val>0.28615384599999999</val>
          </value>
        </values>
      </ddeItem>
      <ddeItem name="PAGE.2.29.1" advise="1">
        <values>
          <value t="str">
            <val>17/12</val>
          </value>
        </values>
      </ddeItem>
      <ddeItem name="PAGE.2.29.10" advise="1">
        <values>
          <value>
            <val>112.291</val>
          </value>
        </values>
      </ddeItem>
      <ddeItem name="PAGE.2.29.11" advise="1">
        <values>
          <value t="str">
            <val>TRT120826T16_KESN_T1</val>
          </value>
        </values>
      </ddeItem>
      <ddeItem name="PAGE.2.29.2" advise="1">
        <values>
          <value t="str">
            <val>TRT120826T16</val>
          </value>
        </values>
      </ddeItem>
      <ddeItem name="PAGE.2.29.3" advise="1">
        <values>
          <value>
            <val>99.828999999999994</val>
          </value>
        </values>
      </ddeItem>
      <ddeItem name="PAGE.2.29.4" advise="1">
        <values>
          <value>
            <val>35.729999999999997</val>
          </value>
        </values>
      </ddeItem>
      <ddeItem name="PAGE.2.29.5" advise="1">
        <values>
          <value>
            <val>38.92</val>
          </value>
        </values>
      </ddeItem>
      <ddeItem name="PAGE.2.29.6" advise="1">
        <values>
          <value>
            <val>1040000000</val>
          </value>
        </values>
      </ddeItem>
      <ddeItem name="PAGE.2.29.7" advise="1">
        <values>
          <value t="str">
            <val>14:11:04</val>
          </value>
        </values>
      </ddeItem>
      <ddeItem name="PAGE.2.29.8" advise="1">
        <values>
          <value>
            <val>1167824749.9200001</val>
          </value>
        </values>
      </ddeItem>
      <ddeItem name="PAGE.2.29.9" advise="1">
        <values>
          <value>
            <val>12.461538462</val>
          </value>
        </values>
      </ddeItem>
      <ddeItem name="PAGE.2.3.1" advise="1">
        <values>
          <value t="str">
            <val>16/12</val>
          </value>
        </values>
      </ddeItem>
      <ddeItem name="PAGE.2.3.10" advise="1">
        <values>
          <value t="str">
            <val/>
          </value>
        </values>
      </ddeItem>
      <ddeItem name="PAGE.2.3.11" advise="1">
        <values>
          <value t="str">
            <val>TRT160627T13_KESN_T0</val>
          </value>
        </values>
      </ddeItem>
      <ddeItem name="PAGE.2.3.2" advise="1">
        <values>
          <value t="str">
            <val>TRT160627T13</val>
          </value>
        </values>
      </ddeItem>
      <ddeItem name="PAGE.2.3.3" advise="1">
        <values>
          <value t="str">
            <val/>
          </value>
        </values>
      </ddeItem>
      <ddeItem name="PAGE.2.3.4" advise="1">
        <values>
          <value t="str">
            <val/>
          </value>
        </values>
      </ddeItem>
      <ddeItem name="PAGE.2.3.5" advise="1">
        <values>
          <value t="str">
            <val/>
          </value>
        </values>
      </ddeItem>
      <ddeItem name="PAGE.2.3.6" advise="1">
        <values>
          <value t="str">
            <val/>
          </value>
        </values>
      </ddeItem>
      <ddeItem name="PAGE.2.3.7" advise="1">
        <values>
          <value t="str">
            <val>13:37:08</val>
          </value>
        </values>
      </ddeItem>
      <ddeItem name="PAGE.2.3.8" advise="1">
        <values>
          <value t="str">
            <val/>
          </value>
        </values>
      </ddeItem>
      <ddeItem name="PAGE.2.3.9" advise="1">
        <values>
          <value>
            <val>10.253924092</val>
          </value>
        </values>
      </ddeItem>
      <ddeItem name="PAGE.2.30.1" advise="1">
        <values>
          <value t="str">
            <val>17/12</val>
          </value>
        </values>
      </ddeItem>
      <ddeItem name="PAGE.2.30.10" advise="1">
        <values>
          <value>
            <val>108.485</val>
          </value>
        </values>
      </ddeItem>
      <ddeItem name="PAGE.2.30.11" advise="1">
        <values>
          <value t="str">
            <val>TRT100227T13_KESN_T1</val>
          </value>
        </values>
      </ddeItem>
      <ddeItem name="PAGE.2.30.2" advise="1">
        <values>
          <value t="str">
            <val>TRT100227T13</val>
          </value>
        </values>
      </ddeItem>
      <ddeItem name="PAGE.2.30.3" advise="1">
        <values>
          <value>
            <val>97.2</val>
          </value>
        </values>
      </ddeItem>
      <ddeItem name="PAGE.2.30.4" advise="1">
        <values>
          <value>
            <val>35.44</val>
          </value>
        </values>
      </ddeItem>
      <ddeItem name="PAGE.2.30.5" advise="1">
        <values>
          <value>
            <val>38.58</val>
          </value>
        </values>
      </ddeItem>
      <ddeItem name="PAGE.2.30.6" advise="1">
        <values>
          <value>
            <val>7000000</val>
          </value>
        </values>
      </ddeItem>
      <ddeItem name="PAGE.2.30.7" advise="1">
        <values>
          <value t="str">
            <val>14:04:10</val>
          </value>
        </values>
      </ddeItem>
      <ddeItem name="PAGE.2.30.8" advise="1">
        <values>
          <value>
            <val>7593923.0800000001</val>
          </value>
        </values>
      </ddeItem>
      <ddeItem name="PAGE.2.30.9" advise="1">
        <values>
          <value>
            <val>11.284615385</val>
          </value>
        </values>
      </ddeItem>
      <ddeItem name="PAGE.2.31.1" advise="1">
        <values>
          <value t="str">
            <val>17/12</val>
          </value>
        </values>
      </ddeItem>
      <ddeItem name="PAGE.2.31.10" advise="1">
        <values>
          <value t="str">
            <val/>
          </value>
        </values>
      </ddeItem>
      <ddeItem name="PAGE.2.31.11" advise="1">
        <values>
          <value t="str">
            <val>TRT190826T19_KESN_T1</val>
          </value>
        </values>
      </ddeItem>
      <ddeItem name="PAGE.2.31.2" advise="1">
        <values>
          <value t="str">
            <val>TRT190826T19</val>
          </value>
        </values>
      </ddeItem>
      <ddeItem name="PAGE.2.31.3" advise="1">
        <values>
          <value t="str">
            <val/>
          </value>
        </values>
      </ddeItem>
      <ddeItem name="PAGE.2.31.4" advise="1">
        <values>
          <value t="str">
            <val/>
          </value>
        </values>
      </ddeItem>
      <ddeItem name="PAGE.2.31.5" advise="1">
        <values>
          <value t="str">
            <val/>
          </value>
        </values>
      </ddeItem>
      <ddeItem name="PAGE.2.31.6" advise="1">
        <values>
          <value t="str">
            <val/>
          </value>
        </values>
      </ddeItem>
      <ddeItem name="PAGE.2.31.7" advise="1">
        <values>
          <value t="str">
            <val>13:32:53</val>
          </value>
        </values>
      </ddeItem>
      <ddeItem name="PAGE.2.31.8" advise="1">
        <values>
          <value t="str">
            <val/>
          </value>
        </values>
      </ddeItem>
      <ddeItem name="PAGE.2.31.9" advise="1">
        <values>
          <value>
            <val>3.0442025400000001</val>
          </value>
        </values>
      </ddeItem>
      <ddeItem name="PAGE.2.32.1" advise="1">
        <values>
          <value t="str">
            <val>17/12</val>
          </value>
        </values>
      </ddeItem>
      <ddeItem name="PAGE.2.32.10" advise="1">
        <values>
          <value>
            <val>99.224999999999994</val>
          </value>
        </values>
      </ddeItem>
      <ddeItem name="PAGE.2.32.11" advise="1">
        <values>
          <value t="str">
            <val>TRT081128T15_KESN_T1</val>
          </value>
        </values>
      </ddeItem>
      <ddeItem name="PAGE.2.32.2" advise="1">
        <values>
          <value t="str">
            <val>TRT081128T15</val>
          </value>
        </values>
      </ddeItem>
      <ddeItem name="PAGE.2.32.3" advise="1">
        <values>
          <value>
            <val>96.236999999999995</val>
          </value>
        </values>
      </ddeItem>
      <ddeItem name="PAGE.2.32.4" advise="1">
        <values>
          <value>
            <val>33.090000000000003</val>
          </value>
        </values>
      </ddeItem>
      <ddeItem name="PAGE.2.32.5" advise="1">
        <values>
          <value>
            <val>35.83</val>
          </value>
        </values>
      </ddeItem>
      <ddeItem name="PAGE.2.32.6" advise="1">
        <values>
          <value>
            <val>179000000</val>
          </value>
        </values>
      </ddeItem>
      <ddeItem name="PAGE.2.32.7" advise="1">
        <values>
          <value t="str">
            <val>14:06:26</val>
          </value>
        </values>
      </ddeItem>
      <ddeItem name="PAGE.2.32.8" advise="1">
        <values>
          <value>
            <val>177613846.16999999</val>
          </value>
        </values>
      </ddeItem>
      <ddeItem name="PAGE.2.32.9" advise="1">
        <values>
          <value>
            <val>2.9884615380000001</val>
          </value>
        </values>
      </ddeItem>
      <ddeItem name="PAGE.2.33.1" advise="1">
        <values>
          <value t="str">
            <val>17/12</val>
          </value>
        </values>
      </ddeItem>
      <ddeItem name="PAGE.2.33.10" advise="1">
        <values>
          <value>
            <val>101.693</val>
          </value>
        </values>
      </ddeItem>
      <ddeItem name="PAGE.2.33.11" advise="1">
        <values>
          <value t="str">
            <val>TRT120929T12_KESN_T1</val>
          </value>
        </values>
      </ddeItem>
      <ddeItem name="PAGE.2.33.2" advise="1">
        <values>
          <value t="str">
            <val>TRT120929T12</val>
          </value>
        </values>
      </ddeItem>
      <ddeItem name="PAGE.2.33.3" advise="1">
        <values>
          <value>
            <val>94.192999999999998</val>
          </value>
        </values>
      </ddeItem>
      <ddeItem name="PAGE.2.33.4" advise="1">
        <values>
          <value>
            <val>32.659999999999997</val>
          </value>
        </values>
      </ddeItem>
      <ddeItem name="PAGE.2.33.5" advise="1">
        <values>
          <value>
            <val>35.33</val>
          </value>
        </values>
      </ddeItem>
      <ddeItem name="PAGE.2.33.6" advise="1">
        <values>
          <value>
            <val>909000000</val>
          </value>
        </values>
      </ddeItem>
      <ddeItem name="PAGE.2.33.7" advise="1">
        <values>
          <value t="str">
            <val>14:08:42</val>
          </value>
        </values>
      </ddeItem>
      <ddeItem name="PAGE.2.33.8" advise="1">
        <values>
          <value>
            <val>924390000</val>
          </value>
        </values>
      </ddeItem>
      <ddeItem name="PAGE.2.33.9" advise="1">
        <values>
          <value>
            <val>7.5</val>
          </value>
        </values>
      </ddeItem>
      <ddeItem name="PAGE.2.34.1" advise="1">
        <values>
          <value t="str">
            <val>17/12</val>
          </value>
        </values>
      </ddeItem>
      <ddeItem name="PAGE.2.34.10" advise="1">
        <values>
          <value>
            <val>94.415000000000006</val>
          </value>
        </values>
      </ddeItem>
      <ddeItem name="PAGE.2.34.11" advise="1">
        <values>
          <value t="str">
            <val>TRT050630T11_KESN_T1</val>
          </value>
        </values>
      </ddeItem>
      <ddeItem name="PAGE.2.34.2" advise="1">
        <values>
          <value t="str">
            <val>TRT050630T11</val>
          </value>
        </values>
      </ddeItem>
      <ddeItem name="PAGE.2.34.3" advise="1">
        <values>
          <value>
            <val>93.7</val>
          </value>
        </values>
      </ddeItem>
      <ddeItem name="PAGE.2.34.4" advise="1">
        <values>
          <value t="str">
            <val/>
          </value>
        </values>
      </ddeItem>
      <ddeItem name="PAGE.2.34.5" advise="1">
        <values>
          <value t="str">
            <val/>
          </value>
        </values>
      </ddeItem>
      <ddeItem name="PAGE.2.34.6" advise="1">
        <values>
          <value>
            <val>95000000</val>
          </value>
        </values>
      </ddeItem>
      <ddeItem name="PAGE.2.34.7" advise="1">
        <values>
          <value t="str">
            <val>14:05:43</val>
          </value>
        </values>
      </ddeItem>
      <ddeItem name="PAGE.2.34.8" advise="1">
        <values>
          <value>
            <val>89694615.370000005</val>
          </value>
        </values>
      </ddeItem>
      <ddeItem name="PAGE.2.34.9" advise="1">
        <values>
          <value>
            <val>0.71538461499999995</val>
          </value>
        </values>
      </ddeItem>
      <ddeItem name="PAGE.2.35.1" advise="1">
        <values>
          <value t="str">
            <val>17/12</val>
          </value>
        </values>
      </ddeItem>
      <ddeItem name="PAGE.2.35.10" advise="1">
        <values>
          <value>
            <val>101.527</val>
          </value>
        </values>
      </ddeItem>
      <ddeItem name="PAGE.2.35.11" advise="1">
        <values>
          <value t="str">
            <val>TRT270934T18_KESN_T1</val>
          </value>
        </values>
      </ddeItem>
      <ddeItem name="PAGE.2.35.2" advise="1">
        <values>
          <value t="str">
            <val>TRT270934T18</val>
          </value>
        </values>
      </ddeItem>
      <ddeItem name="PAGE.2.35.3" advise="1">
        <values>
          <value>
            <val>96.2</val>
          </value>
        </values>
      </ddeItem>
      <ddeItem name="PAGE.2.35.4" advise="1">
        <values>
          <value>
            <val>28.84</val>
          </value>
        </values>
      </ddeItem>
      <ddeItem name="PAGE.2.35.5" advise="1">
        <values>
          <value>
            <val>30.92</val>
          </value>
        </values>
      </ddeItem>
      <ddeItem name="PAGE.2.35.6" advise="1">
        <values>
          <value>
            <val>26000000</val>
          </value>
        </values>
      </ddeItem>
      <ddeItem name="PAGE.2.35.7" advise="1">
        <values>
          <value t="str">
            <val>14:14:40</val>
          </value>
        </values>
      </ddeItem>
      <ddeItem name="PAGE.2.35.8" advise="1">
        <values>
          <value>
            <val>26397000</val>
          </value>
        </values>
      </ddeItem>
      <ddeItem name="PAGE.2.35.9" advise="1">
        <values>
          <value>
            <val>5.326923077</val>
          </value>
        </values>
      </ddeItem>
      <ddeItem name="PAGE.2.36.1" advise="1">
        <values>
          <value t="str">
            <val>16/12</val>
          </value>
        </values>
      </ddeItem>
      <ddeItem name="PAGE.2.36.10" advise="1">
        <values>
          <value>
            <val>112.169</val>
          </value>
        </values>
      </ddeItem>
      <ddeItem name="PAGE.2.36.11" advise="1">
        <values>
          <value t="str">
            <val>TRT120826T16_KESN_T0</val>
          </value>
        </values>
      </ddeItem>
      <ddeItem name="PAGE.2.36.2" advise="1">
        <values>
          <value t="str">
            <val>TRT120826T16</val>
          </value>
        </values>
      </ddeItem>
      <ddeItem name="PAGE.2.36.3" advise="1">
        <values>
          <value>
            <val>99.805999999999997</val>
          </value>
        </values>
      </ddeItem>
      <ddeItem name="PAGE.2.36.4" advise="1">
        <values>
          <value>
            <val>35.770000000000003</val>
          </value>
        </values>
      </ddeItem>
      <ddeItem name="PAGE.2.36.5" advise="1">
        <values>
          <value>
            <val>38.96</val>
          </value>
        </values>
      </ddeItem>
      <ddeItem name="PAGE.2.36.6" advise="1">
        <values>
          <value>
            <val>190000000</val>
          </value>
        </values>
      </ddeItem>
      <ddeItem name="PAGE.2.36.7" advise="1">
        <values>
          <value t="str">
            <val>13:49:19</val>
          </value>
        </values>
      </ddeItem>
      <ddeItem name="PAGE.2.36.8" advise="1">
        <values>
          <value>
            <val>213120460.99000001</val>
          </value>
        </values>
      </ddeItem>
      <ddeItem name="PAGE.2.36.9" advise="1">
        <values>
          <value>
            <val>12.362637362999999</val>
          </value>
        </values>
      </ddeItem>
      <ddeItem name="PAGE.2.37.1" advise="1">
        <values>
          <value t="str">
            <val>16/12</val>
          </value>
        </values>
      </ddeItem>
      <ddeItem name="PAGE.2.37.10" advise="1">
        <values>
          <value>
            <val>101.58799999999999</val>
          </value>
        </values>
      </ddeItem>
      <ddeItem name="PAGE.2.37.11" advise="1">
        <values>
          <value t="str">
            <val>TRT120929T12_KESN_T0</val>
          </value>
        </values>
      </ddeItem>
      <ddeItem name="PAGE.2.37.2" advise="1">
        <values>
          <value t="str">
            <val>TRT120929T12</val>
          </value>
        </values>
      </ddeItem>
      <ddeItem name="PAGE.2.37.3" advise="1">
        <values>
          <value>
            <val>94.17</val>
          </value>
        </values>
      </ddeItem>
      <ddeItem name="PAGE.2.37.4" advise="1">
        <values>
          <value>
            <val>32.67</val>
          </value>
        </values>
      </ddeItem>
      <ddeItem name="PAGE.2.37.5" advise="1">
        <values>
          <value>
            <val>35.340000000000003</val>
          </value>
        </values>
      </ddeItem>
      <ddeItem name="PAGE.2.37.6" advise="1">
        <values>
          <value>
            <val>327000000</val>
          </value>
        </values>
      </ddeItem>
      <ddeItem name="PAGE.2.37.7" advise="1">
        <values>
          <value t="str">
            <val>13:53:32</val>
          </value>
        </values>
      </ddeItem>
      <ddeItem name="PAGE.2.37.8" advise="1">
        <values>
          <value>
            <val>332191244.5</val>
          </value>
        </values>
      </ddeItem>
      <ddeItem name="PAGE.2.37.9" advise="1">
        <values>
          <value>
            <val>7.4175824180000003</val>
          </value>
        </values>
      </ddeItem>
      <ddeItem name="PAGE.2.38.1" advise="1">
        <values>
          <value t="str">
            <val>17/12</val>
          </value>
        </values>
      </ddeItem>
      <ddeItem name="PAGE.2.38.10" advise="1">
        <values>
          <value>
            <val>118.41500000000001</val>
          </value>
        </values>
      </ddeItem>
      <ddeItem name="PAGE.2.38.11" advise="1">
        <values>
          <value t="str">
            <val>TRT100730T13_KESN_T1</val>
          </value>
        </values>
      </ddeItem>
      <ddeItem name="PAGE.2.38.2" advise="1">
        <values>
          <value t="str">
            <val>TRT100730T13</val>
          </value>
        </values>
      </ddeItem>
      <ddeItem name="PAGE.2.38.3" advise="1">
        <values>
          <value>
            <val>103.988</val>
          </value>
        </values>
      </ddeItem>
      <ddeItem name="PAGE.2.38.4" advise="1">
        <values>
          <value>
            <val>32.299999999999997</val>
          </value>
        </values>
      </ddeItem>
      <ddeItem name="PAGE.2.38.5" advise="1">
        <values>
          <value>
            <val>34.92</val>
          </value>
        </values>
      </ddeItem>
      <ddeItem name="PAGE.2.38.6" advise="1">
        <values>
          <value>
            <val>12000000</val>
          </value>
        </values>
      </ddeItem>
      <ddeItem name="PAGE.2.38.7" advise="1">
        <values>
          <value t="str">
            <val>14:09:04</val>
          </value>
        </values>
      </ddeItem>
      <ddeItem name="PAGE.2.38.8" advise="1">
        <values>
          <value>
            <val>14209730.77</val>
          </value>
        </values>
      </ddeItem>
      <ddeItem name="PAGE.2.38.9" advise="1">
        <values>
          <value>
            <val>14.426923077</val>
          </value>
        </values>
      </ddeItem>
      <ddeItem name="PAGE.2.39.1" advise="1">
        <values>
          <value t="str">
            <val>17/12</val>
          </value>
        </values>
      </ddeItem>
      <ddeItem name="PAGE.2.39.10" advise="1">
        <values>
          <value>
            <val>110.33199999999999</val>
          </value>
        </values>
      </ddeItem>
      <ddeItem name="PAGE.2.39.11" advise="1">
        <values>
          <value t="str">
            <val>TRT021030T18_KESN_T1</val>
          </value>
        </values>
      </ddeItem>
      <ddeItem name="PAGE.2.39.2" advise="1">
        <values>
          <value t="str">
            <val>TRT021030T18</val>
          </value>
        </values>
      </ddeItem>
      <ddeItem name="PAGE.2.39.3" advise="1">
        <values>
          <value>
            <val>103.813</val>
          </value>
        </values>
      </ddeItem>
      <ddeItem name="PAGE.2.39.4" advise="1">
        <values>
          <value>
            <val>32.159999999999997</val>
          </value>
        </values>
      </ddeItem>
      <ddeItem name="PAGE.2.39.5" advise="1">
        <values>
          <value>
            <val>34.75</val>
          </value>
        </values>
      </ddeItem>
      <ddeItem name="PAGE.2.39.6" advise="1">
        <values>
          <value>
            <val>951000000</val>
          </value>
        </values>
      </ddeItem>
      <ddeItem name="PAGE.2.39.7" advise="1">
        <values>
          <value t="str">
            <val>13:58:52</val>
          </value>
        </values>
      </ddeItem>
      <ddeItem name="PAGE.2.39.8" advise="1">
        <values>
          <value>
            <val>1049259134.61</val>
          </value>
        </values>
      </ddeItem>
      <ddeItem name="PAGE.2.39.9" advise="1">
        <values>
          <value>
            <val>6.519230769</val>
          </value>
        </values>
      </ddeItem>
      <ddeItem name="PAGE.2.4.1" advise="1">
        <values>
          <value t="str">
            <val>16/12</val>
          </value>
        </values>
      </ddeItem>
      <ddeItem name="PAGE.2.4.10" advise="1">
        <values>
          <value>
            <val>101.413</val>
          </value>
        </values>
      </ddeItem>
      <ddeItem name="PAGE.2.4.11" advise="1">
        <values>
          <value t="str">
            <val>TRT270934T18_KESN_T0</val>
          </value>
        </values>
      </ddeItem>
      <ddeItem name="PAGE.2.4.2" advise="1">
        <values>
          <value t="str">
            <val>TRT270934T18</val>
          </value>
        </values>
      </ddeItem>
      <ddeItem name="PAGE.2.4.3" advise="1">
        <values>
          <value>
            <val>96.162000000000006</val>
          </value>
        </values>
      </ddeItem>
      <ddeItem name="PAGE.2.4.4" advise="1">
        <values>
          <value>
            <val>28.85</val>
          </value>
        </values>
      </ddeItem>
      <ddeItem name="PAGE.2.4.5" advise="1">
        <values>
          <value>
            <val>30.93</val>
          </value>
        </values>
      </ddeItem>
      <ddeItem name="PAGE.2.4.6" advise="1">
        <values>
          <value>
            <val>26000000</val>
          </value>
        </values>
      </ddeItem>
      <ddeItem name="PAGE.2.4.7" advise="1">
        <values>
          <value t="str">
            <val>13:42:52</val>
          </value>
        </values>
      </ddeItem>
      <ddeItem name="PAGE.2.4.8" advise="1">
        <values>
          <value>
            <val>26367214.280000001</val>
          </value>
        </values>
      </ddeItem>
      <ddeItem name="PAGE.2.4.9" advise="1">
        <values>
          <value>
            <val>5.2508241760000001</val>
          </value>
        </values>
      </ddeItem>
      <ddeItem name="PAGE.2.40.1" advise="1">
        <values>
          <value t="str">
            <val>17/12</val>
          </value>
        </values>
      </ddeItem>
      <ddeItem name="PAGE.2.40.10" advise="1">
        <values>
          <value>
            <val>110.27</val>
          </value>
        </values>
      </ddeItem>
      <ddeItem name="PAGE.2.40.11" advise="1">
        <values>
          <value t="str">
            <val>TRT050527T33_KESN_T1</val>
          </value>
        </values>
      </ddeItem>
      <ddeItem name="PAGE.2.40.2" advise="1">
        <values>
          <value t="str">
            <val>TRT050527T33</val>
          </value>
        </values>
      </ddeItem>
      <ddeItem name="PAGE.2.40.3" advise="1">
        <values>
          <value>
            <val>105.539</val>
          </value>
        </values>
      </ddeItem>
      <ddeItem name="PAGE.2.40.4" advise="1">
        <values>
          <value>
            <val>35.32</val>
          </value>
        </values>
      </ddeItem>
      <ddeItem name="PAGE.2.40.5" advise="1">
        <values>
          <value>
            <val>38.44</val>
          </value>
        </values>
      </ddeItem>
      <ddeItem name="PAGE.2.40.6" advise="1">
        <values>
          <value>
            <val>410000000</val>
          </value>
        </values>
      </ddeItem>
      <ddeItem name="PAGE.2.40.7" advise="1">
        <values>
          <value t="str">
            <val>14:14:12</val>
          </value>
        </values>
      </ddeItem>
      <ddeItem name="PAGE.2.40.8" advise="1">
        <values>
          <value>
            <val>452104153.83999997</val>
          </value>
        </values>
      </ddeItem>
      <ddeItem name="PAGE.2.40.9" advise="1">
        <values>
          <value>
            <val>4.730769231</val>
          </value>
        </values>
      </ddeItem>
      <ddeItem name="PAGE.2.41.1" advise="1">
        <values>
          <value t="str">
            <val>16/12</val>
          </value>
        </values>
      </ddeItem>
      <ddeItem name="PAGE.2.41.10" advise="1">
        <values>
          <value>
            <val>110.148</val>
          </value>
        </values>
      </ddeItem>
      <ddeItem name="PAGE.2.41.11" advise="1">
        <values>
          <value t="str">
            <val>TRT050527T33_KESN_T0</val>
          </value>
        </values>
      </ddeItem>
      <ddeItem name="PAGE.2.41.2" advise="1">
        <values>
          <value t="str">
            <val>TRT050527T33</val>
          </value>
        </values>
      </ddeItem>
      <ddeItem name="PAGE.2.41.3" advise="1">
        <values>
          <value>
            <val>105.53</val>
          </value>
        </values>
      </ddeItem>
      <ddeItem name="PAGE.2.41.4" advise="1">
        <values>
          <value>
            <val>35.340000000000003</val>
          </value>
        </values>
      </ddeItem>
      <ddeItem name="PAGE.2.41.5" advise="1">
        <values>
          <value>
            <val>38.46</val>
          </value>
        </values>
      </ddeItem>
      <ddeItem name="PAGE.2.41.6" advise="1">
        <values>
          <value>
            <val>10000000</val>
          </value>
        </values>
      </ddeItem>
      <ddeItem name="PAGE.2.41.7" advise="1">
        <values>
          <value t="str">
            <val>13:41:17</val>
          </value>
        </values>
      </ddeItem>
      <ddeItem name="PAGE.2.41.8" advise="1">
        <values>
          <value>
            <val>11014813.18</val>
          </value>
        </values>
      </ddeItem>
      <ddeItem name="PAGE.2.41.9" advise="1">
        <values>
          <value>
            <val>4.6181318679999999</val>
          </value>
        </values>
      </ddeItem>
      <ddeItem name="PAGE.2.42.1" advise="1">
        <values>
          <value t="str">
            <val>17/12</val>
          </value>
        </values>
      </ddeItem>
      <ddeItem name="PAGE.2.42.10" advise="1">
        <values>
          <value>
            <val>118.762</val>
          </value>
        </values>
      </ddeItem>
      <ddeItem name="PAGE.2.42.11" advise="1">
        <values>
          <value t="str">
            <val>TRT140727T14_KESN_T1</val>
          </value>
        </values>
      </ddeItem>
      <ddeItem name="PAGE.2.42.2" advise="1">
        <values>
          <value t="str">
            <val>TRT140727T14</val>
          </value>
        </values>
      </ddeItem>
      <ddeItem name="PAGE.2.42.3" advise="1">
        <values>
          <value>
            <val>102.753</val>
          </value>
        </values>
      </ddeItem>
      <ddeItem name="PAGE.2.42.4" advise="1">
        <values>
          <value>
            <val>35.24</val>
          </value>
        </values>
      </ddeItem>
      <ddeItem name="PAGE.2.42.5" advise="1">
        <values>
          <value>
            <val>38.340000000000003</val>
          </value>
        </values>
      </ddeItem>
      <ddeItem name="PAGE.2.42.6" advise="1">
        <values>
          <value>
            <val>926000000</val>
          </value>
        </values>
      </ddeItem>
      <ddeItem name="PAGE.2.42.7" advise="1">
        <values>
          <value t="str">
            <val>14:13:57</val>
          </value>
        </values>
      </ddeItem>
      <ddeItem name="PAGE.2.42.8" advise="1">
        <values>
          <value>
            <val>1099735226.96</val>
          </value>
        </values>
      </ddeItem>
      <ddeItem name="PAGE.2.42.9" advise="1">
        <values>
          <value>
            <val>16.009230768999998</val>
          </value>
        </values>
      </ddeItem>
      <ddeItem name="PAGE.2.43.1" advise="1">
        <values>
          <value t="str">
            <val>17/12</val>
          </value>
        </values>
      </ddeItem>
      <ddeItem name="PAGE.2.43.10" advise="1">
        <values>
          <value>
            <val>111.425</val>
          </value>
        </values>
      </ddeItem>
      <ddeItem name="PAGE.2.43.11" advise="1">
        <values>
          <value t="str">
            <val>TRT050935T13_KESN_T1</val>
          </value>
        </values>
      </ddeItem>
      <ddeItem name="PAGE.2.43.2" advise="1">
        <values>
          <value t="str">
            <val>TRT050935T13</val>
          </value>
        </values>
      </ddeItem>
      <ddeItem name="PAGE.2.43.3" advise="1">
        <values>
          <value>
            <val>103.91</val>
          </value>
        </values>
      </ddeItem>
      <ddeItem name="PAGE.2.43.4" advise="1">
        <values>
          <value>
            <val>28.77</val>
          </value>
        </values>
      </ddeItem>
      <ddeItem name="PAGE.2.43.5" advise="1">
        <values>
          <value>
            <val>30.84</val>
          </value>
        </values>
      </ddeItem>
      <ddeItem name="PAGE.2.43.6" advise="1">
        <values>
          <value>
            <val>93000000</val>
          </value>
        </values>
      </ddeItem>
      <ddeItem name="PAGE.2.43.7" advise="1">
        <values>
          <value t="str">
            <val>13:43:30</val>
          </value>
        </values>
      </ddeItem>
      <ddeItem name="PAGE.2.43.8" advise="1">
        <values>
          <value>
            <val>103625200</val>
          </value>
        </values>
      </ddeItem>
      <ddeItem name="PAGE.2.43.9" advise="1">
        <values>
          <value>
            <val>7.5149999999999997</val>
          </value>
        </values>
      </ddeItem>
      <ddeItem name="PAGE.2.44.1" advise="1">
        <values>
          <value t="str">
            <val>16/12</val>
          </value>
        </values>
      </ddeItem>
      <ddeItem name="PAGE.2.44.10" advise="1">
        <values>
          <value>
            <val>110.282</val>
          </value>
        </values>
      </ddeItem>
      <ddeItem name="PAGE.2.44.11" advise="1">
        <values>
          <value t="str">
            <val>TRT021030T18_KESN_T0</val>
          </value>
        </values>
      </ddeItem>
      <ddeItem name="PAGE.2.44.2" advise="1">
        <values>
          <value t="str">
            <val>TRT021030T18</val>
          </value>
        </values>
      </ddeItem>
      <ddeItem name="PAGE.2.44.3" advise="1">
        <values>
          <value>
            <val>103.85599999999999</val>
          </value>
        </values>
      </ddeItem>
      <ddeItem name="PAGE.2.44.4" advise="1">
        <values>
          <value>
            <val>32.15</val>
          </value>
        </values>
      </ddeItem>
      <ddeItem name="PAGE.2.44.5" advise="1">
        <values>
          <value>
            <val>34.729999999999997</val>
          </value>
        </values>
      </ddeItem>
      <ddeItem name="PAGE.2.44.6" advise="1">
        <values>
          <value>
            <val>116000000</val>
          </value>
        </values>
      </ddeItem>
      <ddeItem name="PAGE.2.44.7" advise="1">
        <values>
          <value t="str">
            <val>13:44:30</val>
          </value>
        </values>
      </ddeItem>
      <ddeItem name="PAGE.2.44.8" advise="1">
        <values>
          <value>
            <val>127927774.73</val>
          </value>
        </values>
      </ddeItem>
      <ddeItem name="PAGE.2.44.9" advise="1">
        <values>
          <value>
            <val>6.4260989009999996</val>
          </value>
        </values>
      </ddeItem>
      <ddeItem name="PAGE.2.45.1" advise="1">
        <values>
          <value t="str">
            <val>16/12</val>
          </value>
        </values>
      </ddeItem>
      <ddeItem name="PAGE.2.45.10" advise="1">
        <values>
          <value t="str">
            <val/>
          </value>
        </values>
      </ddeItem>
      <ddeItem name="PAGE.2.45.11" advise="1">
        <values>
          <value t="str">
            <val>TRD170730T14_KESN_T0</val>
          </value>
        </values>
      </ddeItem>
      <ddeItem name="PAGE.2.45.2" advise="1">
        <values>
          <value t="str">
            <val>TRD170730T14</val>
          </value>
        </values>
      </ddeItem>
      <ddeItem name="PAGE.2.45.3" advise="1">
        <values>
          <value t="str">
            <val/>
          </value>
        </values>
      </ddeItem>
      <ddeItem name="PAGE.2.45.4" advise="1">
        <values>
          <value t="str">
            <val/>
          </value>
        </values>
      </ddeItem>
      <ddeItem name="PAGE.2.45.5" advise="1">
        <values>
          <value t="str">
            <val/>
          </value>
        </values>
      </ddeItem>
      <ddeItem name="PAGE.2.45.6" advise="1">
        <values>
          <value t="str">
            <val/>
          </value>
        </values>
      </ddeItem>
      <ddeItem name="PAGE.2.45.7" advise="1">
        <values>
          <value t="str">
            <val>09:51:21</val>
          </value>
        </values>
      </ddeItem>
      <ddeItem name="PAGE.2.45.8" advise="1">
        <values>
          <value t="str">
            <val/>
          </value>
        </values>
      </ddeItem>
      <ddeItem name="PAGE.2.45.9" advise="1">
        <values>
          <value>
            <val>13.380659340999999</val>
          </value>
        </values>
      </ddeItem>
      <ddeItem name="PAGE.2.46.1" advise="1">
        <values>
          <value t="str">
            <val>16/12</val>
          </value>
        </values>
      </ddeItem>
      <ddeItem name="PAGE.2.46.10" advise="1">
        <values>
          <value>
            <val>100.136</val>
          </value>
        </values>
      </ddeItem>
      <ddeItem name="PAGE.2.46.11" advise="1">
        <values>
          <value t="str">
            <val>TRT070329T15_KESN_T0</val>
          </value>
        </values>
      </ddeItem>
      <ddeItem name="PAGE.2.46.2" advise="1">
        <values>
          <value t="str">
            <val>TRT070329T15</val>
          </value>
        </values>
      </ddeItem>
      <ddeItem name="PAGE.2.46.3" advise="1">
        <values>
          <value>
            <val>99.5</val>
          </value>
        </values>
      </ddeItem>
      <ddeItem name="PAGE.2.46.4" advise="1">
        <values>
          <value t="str">
            <val/>
          </value>
        </values>
      </ddeItem>
      <ddeItem name="PAGE.2.46.5" advise="1">
        <values>
          <value t="str">
            <val/>
          </value>
        </values>
      </ddeItem>
      <ddeItem name="PAGE.2.46.6" advise="1">
        <values>
          <value>
            <val>50000000</val>
          </value>
        </values>
      </ddeItem>
      <ddeItem name="PAGE.2.46.7" advise="1">
        <values>
          <value t="str">
            <val>13:57:45</val>
          </value>
        </values>
      </ddeItem>
      <ddeItem name="PAGE.2.46.8" advise="1">
        <values>
          <value>
            <val>50067864.630000003</val>
          </value>
        </values>
      </ddeItem>
      <ddeItem name="PAGE.2.46.9" advise="1">
        <values>
          <value>
            <val>0.63572925899999999</val>
          </value>
        </values>
      </ddeItem>
      <ddeItem name="PAGE.2.47.1" advise="1">
        <values>
          <value t="str">
            <val>16/12</val>
          </value>
        </values>
      </ddeItem>
      <ddeItem name="PAGE.2.47.10" advise="1">
        <values>
          <value t="str">
            <val/>
          </value>
        </values>
      </ddeItem>
      <ddeItem name="PAGE.2.47.11" advise="1">
        <values>
          <value t="str">
            <val>TRT020926T17_KESN_T0</val>
          </value>
        </values>
      </ddeItem>
      <ddeItem name="PAGE.2.47.2" advise="1">
        <values>
          <value t="str">
            <val>TRT020926T17</val>
          </value>
        </values>
      </ddeItem>
      <ddeItem name="PAGE.2.47.3" advise="1">
        <values>
          <value t="str">
            <val/>
          </value>
        </values>
      </ddeItem>
      <ddeItem name="PAGE.2.47.4" advise="1">
        <values>
          <value t="str">
            <val/>
          </value>
        </values>
      </ddeItem>
      <ddeItem name="PAGE.2.47.5" advise="1">
        <values>
          <value t="str">
            <val/>
          </value>
        </values>
      </ddeItem>
      <ddeItem name="PAGE.2.47.6" advise="1">
        <values>
          <value t="str">
            <val/>
          </value>
        </values>
      </ddeItem>
      <ddeItem name="PAGE.2.47.7" advise="1">
        <values>
          <value t="str">
            <val>10:21:20</val>
          </value>
        </values>
      </ddeItem>
      <ddeItem name="PAGE.2.47.8" advise="1">
        <values>
          <value t="str">
            <val/>
          </value>
        </values>
      </ddeItem>
      <ddeItem name="PAGE.2.47.9" advise="1">
        <values>
          <value>
            <val>4.8285714290000001</val>
          </value>
        </values>
      </ddeItem>
      <ddeItem name="PAGE.2.48.1" advise="1">
        <values>
          <value t="str">
            <val>16/12</val>
          </value>
        </values>
      </ddeItem>
      <ddeItem name="PAGE.2.48.10" advise="1">
        <values>
          <value>
            <val>115.08</val>
          </value>
        </values>
      </ddeItem>
      <ddeItem name="PAGE.2.48.11" advise="1">
        <values>
          <value t="str">
            <val>TRD070427T14_KESN_T0</val>
          </value>
        </values>
      </ddeItem>
      <ddeItem name="PAGE.2.48.2" advise="1">
        <values>
          <value t="str">
            <val>TRD070427T14</val>
          </value>
        </values>
      </ddeItem>
      <ddeItem name="PAGE.2.48.3" advise="1">
        <values>
          <value>
            <val>107.001</val>
          </value>
        </values>
      </ddeItem>
      <ddeItem name="PAGE.2.48.4" advise="1">
        <values>
          <value>
            <val>35.1</val>
          </value>
        </values>
      </ddeItem>
      <ddeItem name="PAGE.2.48.5" advise="1">
        <values>
          <value>
            <val>38.18</val>
          </value>
        </values>
      </ddeItem>
      <ddeItem name="PAGE.2.48.6" advise="1">
        <values>
          <value>
            <val>50200000</val>
          </value>
        </values>
      </ddeItem>
      <ddeItem name="PAGE.2.48.7" advise="1">
        <values>
          <value t="str">
            <val>12:44:52</val>
          </value>
        </values>
      </ddeItem>
      <ddeItem name="PAGE.2.48.8" advise="1">
        <values>
          <value>
            <val>57770291.100000001</val>
          </value>
        </values>
      </ddeItem>
      <ddeItem name="PAGE.2.48.9" advise="1">
        <values>
          <value>
            <val>8.0790659340000008</val>
          </value>
        </values>
      </ddeItem>
      <ddeItem name="PAGE.2.49.1" advise="1">
        <values>
          <value t="str">
            <val>17/12</val>
          </value>
        </values>
      </ddeItem>
      <ddeItem name="PAGE.2.49.10" advise="1">
        <values>
          <value t="str">
            <val/>
          </value>
        </values>
      </ddeItem>
      <ddeItem name="PAGE.2.49.11" advise="1">
        <values>
          <value t="str">
            <val>TRT080426T16_KESN_T1</val>
          </value>
        </values>
      </ddeItem>
      <ddeItem name="PAGE.2.49.2" advise="1">
        <values>
          <value t="str">
            <val>TRT080426T16</val>
          </value>
        </values>
      </ddeItem>
      <ddeItem name="PAGE.2.49.3" advise="1">
        <values>
          <value t="str">
            <val/>
          </value>
        </values>
      </ddeItem>
      <ddeItem name="PAGE.2.49.4" advise="1">
        <values>
          <value t="str">
            <val/>
          </value>
        </values>
      </ddeItem>
      <ddeItem name="PAGE.2.49.5" advise="1">
        <values>
          <value t="str">
            <val/>
          </value>
        </values>
      </ddeItem>
      <ddeItem name="PAGE.2.49.6" advise="1">
        <values>
          <value t="str">
            <val/>
          </value>
        </values>
      </ddeItem>
      <ddeItem name="PAGE.2.49.7" advise="1">
        <values>
          <value t="str">
            <val>14:12:29</val>
          </value>
        </values>
      </ddeItem>
      <ddeItem name="PAGE.2.49.8" advise="1">
        <values>
          <value t="str">
            <val/>
          </value>
        </values>
      </ddeItem>
      <ddeItem name="PAGE.2.49.9" advise="1">
        <values>
          <value>
            <val>7.8478750489999998</val>
          </value>
        </values>
      </ddeItem>
      <ddeItem name="PAGE.2.5.1" advise="1">
        <values>
          <value t="str">
            <val>16/12</val>
          </value>
        </values>
      </ddeItem>
      <ddeItem name="PAGE.2.5.10" advise="1">
        <values>
          <value t="str">
            <val/>
          </value>
        </values>
      </ddeItem>
      <ddeItem name="PAGE.2.5.11" advise="1">
        <values>
          <value t="str">
            <val>TRSSISE32613_KESN_T0</val>
          </value>
        </values>
      </ddeItem>
      <ddeItem name="PAGE.2.5.2" advise="1">
        <values>
          <value t="str">
            <val>TRSSISE32613</val>
          </value>
        </values>
      </ddeItem>
      <ddeItem name="PAGE.2.5.3" advise="1">
        <values>
          <value t="str">
            <val/>
          </value>
        </values>
      </ddeItem>
      <ddeItem name="PAGE.2.5.4" advise="1">
        <values>
          <value t="str">
            <val/>
          </value>
        </values>
      </ddeItem>
      <ddeItem name="PAGE.2.5.5" advise="1">
        <values>
          <value t="str">
            <val/>
          </value>
        </values>
      </ddeItem>
      <ddeItem name="PAGE.2.5.6" advise="1">
        <values>
          <value t="str">
            <val/>
          </value>
        </values>
      </ddeItem>
      <ddeItem name="PAGE.2.5.7" advise="1">
        <values>
          <value t="str">
            <val>09:34:54</val>
          </value>
        </values>
      </ddeItem>
      <ddeItem name="PAGE.2.5.8" advise="1">
        <values>
          <value t="str">
            <val/>
          </value>
        </values>
      </ddeItem>
      <ddeItem name="PAGE.2.5.9" advise="1">
        <values>
          <value t="str">
            <val/>
          </value>
        </values>
      </ddeItem>
      <ddeItem name="PAGE.2.50.1" advise="1">
        <values>
          <value t="str">
            <val>16/12</val>
          </value>
        </values>
      </ddeItem>
      <ddeItem name="PAGE.2.50.10" advise="1">
        <values>
          <value t="str">
            <val/>
          </value>
        </values>
      </ddeItem>
      <ddeItem name="PAGE.2.50.11" advise="1">
        <values>
          <value t="str">
            <val>TRT130629T14_KESN_T0</val>
          </value>
        </values>
      </ddeItem>
      <ddeItem name="PAGE.2.50.2" advise="1">
        <values>
          <value t="str">
            <val>TRT130629T14</val>
          </value>
        </values>
      </ddeItem>
      <ddeItem name="PAGE.2.50.3" advise="1">
        <values>
          <value t="str">
            <val/>
          </value>
        </values>
      </ddeItem>
      <ddeItem name="PAGE.2.50.4" advise="1">
        <values>
          <value t="str">
            <val/>
          </value>
        </values>
      </ddeItem>
      <ddeItem name="PAGE.2.50.5" advise="1">
        <values>
          <value t="str">
            <val/>
          </value>
        </values>
      </ddeItem>
      <ddeItem name="PAGE.2.50.6" advise="1">
        <values>
          <value t="str">
            <val/>
          </value>
        </values>
      </ddeItem>
      <ddeItem name="PAGE.2.50.7" advise="1">
        <values>
          <value t="str">
            <val>09:53:19</val>
          </value>
        </values>
      </ddeItem>
      <ddeItem name="PAGE.2.50.8" advise="1">
        <values>
          <value t="str">
            <val/>
          </value>
        </values>
      </ddeItem>
      <ddeItem name="PAGE.2.50.9" advise="1">
        <values>
          <value>
            <val>2.2376373630000002</val>
          </value>
        </values>
      </ddeItem>
      <ddeItem name="PAGE.2.51.1" advise="1">
        <values>
          <value t="str">
            <val>16/12</val>
          </value>
        </values>
      </ddeItem>
      <ddeItem name="PAGE.2.51.10" advise="1">
        <values>
          <value t="str">
            <val/>
          </value>
        </values>
      </ddeItem>
      <ddeItem name="PAGE.2.51.11" advise="1">
        <values>
          <value t="str">
            <val>TRT170528T12_KESN_T0</val>
          </value>
        </values>
      </ddeItem>
      <ddeItem name="PAGE.2.51.2" advise="1">
        <values>
          <value t="str">
            <val>TRT170528T12</val>
          </value>
        </values>
      </ddeItem>
      <ddeItem name="PAGE.2.51.3" advise="1">
        <values>
          <value t="str">
            <val/>
          </value>
        </values>
      </ddeItem>
      <ddeItem name="PAGE.2.51.4" advise="1">
        <values>
          <value t="str">
            <val/>
          </value>
        </values>
      </ddeItem>
      <ddeItem name="PAGE.2.51.5" advise="1">
        <values>
          <value t="str">
            <val/>
          </value>
        </values>
      </ddeItem>
      <ddeItem name="PAGE.2.51.6" advise="1">
        <values>
          <value t="str">
            <val/>
          </value>
        </values>
      </ddeItem>
      <ddeItem name="PAGE.2.51.7" advise="1">
        <values>
          <value t="str">
            <val>13:36:06</val>
          </value>
        </values>
      </ddeItem>
      <ddeItem name="PAGE.2.51.8" advise="1">
        <values>
          <value t="str">
            <val/>
          </value>
        </values>
      </ddeItem>
      <ddeItem name="PAGE.2.51.9" advise="1">
        <values>
          <value>
            <val>2.9377564889999999</val>
          </value>
        </values>
      </ddeItem>
      <ddeItem name="PAGE.2.52.1" advise="1">
        <values>
          <value t="str">
            <val>16/12</val>
          </value>
        </values>
      </ddeItem>
      <ddeItem name="PAGE.2.52.10" advise="1">
        <values>
          <value>
            <val>108.265</val>
          </value>
        </values>
      </ddeItem>
      <ddeItem name="PAGE.2.52.11" advise="1">
        <values>
          <value t="str">
            <val>TRT131027T36_KESN_T0</val>
          </value>
        </values>
      </ddeItem>
      <ddeItem name="PAGE.2.52.2" advise="1">
        <values>
          <value t="str">
            <val>TRT131027T36</val>
          </value>
        </values>
      </ddeItem>
      <ddeItem name="PAGE.2.52.3" advise="1">
        <values>
          <value>
            <val>102</val>
          </value>
        </values>
      </ddeItem>
      <ddeItem name="PAGE.2.52.4" advise="1">
        <values>
          <value>
            <val>34.950000000000003</val>
          </value>
        </values>
      </ddeItem>
      <ddeItem name="PAGE.2.52.5" advise="1">
        <values>
          <value>
            <val>38</val>
          </value>
        </values>
      </ddeItem>
      <ddeItem name="PAGE.2.52.6" advise="1">
        <values>
          <value>
            <val>90000000</val>
          </value>
        </values>
      </ddeItem>
      <ddeItem name="PAGE.2.52.7" advise="1">
        <values>
          <value t="str">
            <val>13:24:25</val>
          </value>
        </values>
      </ddeItem>
      <ddeItem name="PAGE.2.52.8" advise="1">
        <values>
          <value>
            <val>97438252.719999999</val>
          </value>
        </values>
      </ddeItem>
      <ddeItem name="PAGE.2.52.9" advise="1">
        <values>
          <value>
            <val>6.264725275</val>
          </value>
        </values>
      </ddeItem>
      <ddeItem name="PAGE.2.53.1" advise="1">
        <values>
          <value t="str">
            <val>16/12</val>
          </value>
        </values>
      </ddeItem>
      <ddeItem name="PAGE.2.53.10" advise="1">
        <values>
          <value t="str">
            <val/>
          </value>
        </values>
      </ddeItem>
      <ddeItem name="PAGE.2.53.11" advise="1">
        <values>
          <value t="str">
            <val>TRT130629T30_KESN_T0</val>
          </value>
        </values>
      </ddeItem>
      <ddeItem name="PAGE.2.53.2" advise="1">
        <values>
          <value t="str">
            <val>TRT130629T30</val>
          </value>
        </values>
      </ddeItem>
      <ddeItem name="PAGE.2.53.3" advise="1">
        <values>
          <value t="str">
            <val/>
          </value>
        </values>
      </ddeItem>
      <ddeItem name="PAGE.2.53.4" advise="1">
        <values>
          <value t="str">
            <val/>
          </value>
        </values>
      </ddeItem>
      <ddeItem name="PAGE.2.53.5" advise="1">
        <values>
          <value t="str">
            <val/>
          </value>
        </values>
      </ddeItem>
      <ddeItem name="PAGE.2.53.6" advise="1">
        <values>
          <value t="str">
            <val/>
          </value>
        </values>
      </ddeItem>
      <ddeItem name="PAGE.2.53.7" advise="1">
        <values>
          <value t="str">
            <val>13:31:18</val>
          </value>
        </values>
      </ddeItem>
      <ddeItem name="PAGE.2.53.8" advise="1">
        <values>
          <value t="str">
            <val/>
          </value>
        </values>
      </ddeItem>
      <ddeItem name="PAGE.2.53.9" advise="1">
        <values>
          <value>
            <val>10.253924092</val>
          </value>
        </values>
      </ddeItem>
      <ddeItem name="PAGE.2.54.1" advise="1">
        <values>
          <value t="str">
            <val>16/12</val>
          </value>
        </values>
      </ddeItem>
      <ddeItem name="PAGE.2.54.10" advise="1">
        <values>
          <value>
            <val>118.699</val>
          </value>
        </values>
      </ddeItem>
      <ddeItem name="PAGE.2.54.11" advise="1">
        <values>
          <value t="str">
            <val>TRT140727T14_KESN_T0</val>
          </value>
        </values>
      </ddeItem>
      <ddeItem name="PAGE.2.54.2" advise="1">
        <values>
          <value t="str">
            <val>TRT140727T14</val>
          </value>
        </values>
      </ddeItem>
      <ddeItem name="PAGE.2.54.3" advise="1">
        <values>
          <value>
            <val>102.794</val>
          </value>
        </values>
      </ddeItem>
      <ddeItem name="PAGE.2.54.4" advise="1">
        <values>
          <value>
            <val>35.200000000000003</val>
          </value>
        </values>
      </ddeItem>
      <ddeItem name="PAGE.2.54.5" advise="1">
        <values>
          <value>
            <val>38.299999999999997</val>
          </value>
        </values>
      </ddeItem>
      <ddeItem name="PAGE.2.54.6" advise="1">
        <values>
          <value>
            <val>26000000</val>
          </value>
        </values>
      </ddeItem>
      <ddeItem name="PAGE.2.54.7" advise="1">
        <values>
          <value t="str">
            <val>13:42:22</val>
          </value>
        </values>
      </ddeItem>
      <ddeItem name="PAGE.2.54.8" advise="1">
        <values>
          <value>
            <val>30861871.43</val>
          </value>
        </values>
      </ddeItem>
      <ddeItem name="PAGE.2.54.9" advise="1">
        <values>
          <value>
            <val>15.905274725</val>
          </value>
        </values>
      </ddeItem>
      <ddeItem name="PAGE.2.55.1" advise="1">
        <values>
          <value t="str">
            <val>16/12</val>
          </value>
        </values>
      </ddeItem>
      <ddeItem name="PAGE.2.55.10" advise="1">
        <values>
          <value>
            <val>100.285</val>
          </value>
        </values>
      </ddeItem>
      <ddeItem name="PAGE.2.55.11" advise="1">
        <values>
          <value t="str">
            <val>TRT061228T16_KESN_T0</val>
          </value>
        </values>
      </ddeItem>
      <ddeItem name="PAGE.2.55.2" advise="1">
        <values>
          <value t="str">
            <val>TRT061228T16</val>
          </value>
        </values>
      </ddeItem>
      <ddeItem name="PAGE.2.55.3" advise="1">
        <values>
          <value>
            <val>99.649000000000001</val>
          </value>
        </values>
      </ddeItem>
      <ddeItem name="PAGE.2.55.4" advise="1">
        <values>
          <value t="str">
            <val/>
          </value>
        </values>
      </ddeItem>
      <ddeItem name="PAGE.2.55.5" advise="1">
        <values>
          <value t="str">
            <val/>
          </value>
        </values>
      </ddeItem>
      <ddeItem name="PAGE.2.55.6" advise="1">
        <values>
          <value>
            <val>51000000</val>
          </value>
        </values>
      </ddeItem>
      <ddeItem name="PAGE.2.55.7" advise="1">
        <values>
          <value t="str">
            <val>13:29:52</val>
          </value>
        </values>
      </ddeItem>
      <ddeItem name="PAGE.2.55.8" advise="1">
        <values>
          <value>
            <val>51145221.920000002</val>
          </value>
        </values>
      </ddeItem>
      <ddeItem name="PAGE.2.55.9" advise="1">
        <values>
          <value>
            <val>0.63572925899999999</val>
          </value>
        </values>
      </ddeItem>
      <ddeItem name="PAGE.2.56.1" advise="1">
        <values>
          <value t="str">
            <val>16/12</val>
          </value>
        </values>
      </ddeItem>
      <ddeItem name="PAGE.2.56.10" advise="1">
        <values>
          <value>
            <val>6025</val>
          </value>
        </values>
      </ddeItem>
      <ddeItem name="PAGE.2.56.11" advise="1">
        <values>
          <value t="str">
            <val>TRT120626T18_KESN_T0</val>
          </value>
        </values>
      </ddeItem>
      <ddeItem name="PAGE.2.56.2" advise="1">
        <values>
          <value t="str">
            <val>TRT120626T18</val>
          </value>
        </values>
      </ddeItem>
      <ddeItem name="PAGE.2.56.3" advise="1">
        <values>
          <value>
            <val>6025</val>
          </value>
        </values>
      </ddeItem>
      <ddeItem name="PAGE.2.56.4" advise="1">
        <values>
          <value t="str">
            <val/>
          </value>
        </values>
      </ddeItem>
      <ddeItem name="PAGE.2.56.5" advise="1">
        <values>
          <value t="str">
            <val/>
          </value>
        </values>
      </ddeItem>
      <ddeItem name="PAGE.2.56.6" advise="1">
        <values>
          <value>
            <val>2985</val>
          </value>
        </values>
      </ddeItem>
      <ddeItem name="PAGE.2.56.7" advise="1">
        <values>
          <value t="str">
            <val>13:52:04</val>
          </value>
        </values>
      </ddeItem>
      <ddeItem name="PAGE.2.56.8" advise="1">
        <values>
          <value>
            <val>17984625</val>
          </value>
        </values>
      </ddeItem>
      <ddeItem name="PAGE.2.56.9" advise="1">
        <values>
          <value t="str">
            <val/>
          </value>
        </values>
      </ddeItem>
      <ddeItem name="PAGE.2.57.1" advise="1">
        <values>
          <value t="str">
            <val>16/12</val>
          </value>
        </values>
      </ddeItem>
      <ddeItem name="PAGE.2.57.10" advise="1">
        <values>
          <value>
            <val>5930</val>
          </value>
        </values>
      </ddeItem>
      <ddeItem name="PAGE.2.57.11" advise="1">
        <values>
          <value t="str">
            <val>TRD180326T13_KESN_T0</val>
          </value>
        </values>
      </ddeItem>
      <ddeItem name="PAGE.2.57.2" advise="1">
        <values>
          <value t="str">
            <val>TRD180326T13</val>
          </value>
        </values>
      </ddeItem>
      <ddeItem name="PAGE.2.57.3" advise="1">
        <values>
          <value>
            <val>5930</val>
          </value>
        </values>
      </ddeItem>
      <ddeItem name="PAGE.2.57.4" advise="1">
        <values>
          <value t="str">
            <val/>
          </value>
        </values>
      </ddeItem>
      <ddeItem name="PAGE.2.57.5" advise="1">
        <values>
          <value t="str">
            <val/>
          </value>
        </values>
      </ddeItem>
      <ddeItem name="PAGE.2.57.6" advise="1">
        <values>
          <value>
            <val>6965</val>
          </value>
        </values>
      </ddeItem>
      <ddeItem name="PAGE.2.57.7" advise="1">
        <values>
          <value t="str">
            <val>12:47:44</val>
          </value>
        </values>
      </ddeItem>
      <ddeItem name="PAGE.2.57.8" advise="1">
        <values>
          <value>
            <val>41302450</val>
          </value>
        </values>
      </ddeItem>
      <ddeItem name="PAGE.2.57.9" advise="1">
        <values>
          <value t="str">
            <val/>
          </value>
        </values>
      </ddeItem>
      <ddeItem name="PAGE.2.58.1" advise="1">
        <values>
          <value t="str">
            <val>17/12</val>
          </value>
        </values>
      </ddeItem>
      <ddeItem name="PAGE.2.58.10" advise="1">
        <values>
          <value t="str">
            <val/>
          </value>
        </values>
      </ddeItem>
      <ddeItem name="PAGE.2.58.11" advise="1">
        <values>
          <value t="str">
            <val>TRT050527T17_KESN_T1</val>
          </value>
        </values>
      </ddeItem>
      <ddeItem name="PAGE.2.58.2" advise="1">
        <values>
          <value t="str">
            <val>TRT050527T17</val>
          </value>
        </values>
      </ddeItem>
      <ddeItem name="PAGE.2.58.3" advise="1">
        <values>
          <value t="str">
            <val/>
          </value>
        </values>
      </ddeItem>
      <ddeItem name="PAGE.2.58.4" advise="1">
        <values>
          <value t="str">
            <val/>
          </value>
        </values>
      </ddeItem>
      <ddeItem name="PAGE.2.58.5" advise="1">
        <values>
          <value t="str">
            <val/>
          </value>
        </values>
      </ddeItem>
      <ddeItem name="PAGE.2.58.6" advise="1">
        <values>
          <value t="str">
            <val/>
          </value>
        </values>
      </ddeItem>
      <ddeItem name="PAGE.2.58.7" advise="1">
        <values>
          <value t="str">
            <val>09:57:43</val>
          </value>
        </values>
      </ddeItem>
      <ddeItem name="PAGE.2.58.8" advise="1">
        <values>
          <value t="str">
            <val/>
          </value>
        </values>
      </ddeItem>
      <ddeItem name="PAGE.2.58.9" advise="1">
        <values>
          <value>
            <val>4.2876923079999996</val>
          </value>
        </values>
      </ddeItem>
      <ddeItem name="PAGE.2.59.1" advise="1">
        <values>
          <value t="str">
            <val>17/12</val>
          </value>
        </values>
      </ddeItem>
      <ddeItem name="PAGE.2.59.10" advise="1">
        <values>
          <value t="str">
            <val/>
          </value>
        </values>
      </ddeItem>
      <ddeItem name="PAGE.2.59.11" advise="1">
        <values>
          <value t="str">
            <val>TRT171127T15_KESN_T1</val>
          </value>
        </values>
      </ddeItem>
      <ddeItem name="PAGE.2.59.2" advise="1">
        <values>
          <value t="str">
            <val>TRT171127T15</val>
          </value>
        </values>
      </ddeItem>
      <ddeItem name="PAGE.2.59.3" advise="1">
        <values>
          <value t="str">
            <val/>
          </value>
        </values>
      </ddeItem>
      <ddeItem name="PAGE.2.59.4" advise="1">
        <values>
          <value t="str">
            <val/>
          </value>
        </values>
      </ddeItem>
      <ddeItem name="PAGE.2.59.5" advise="1">
        <values>
          <value t="str">
            <val/>
          </value>
        </values>
      </ddeItem>
      <ddeItem name="PAGE.2.59.6" advise="1">
        <values>
          <value t="str">
            <val/>
          </value>
        </values>
      </ddeItem>
      <ddeItem name="PAGE.2.59.7" advise="1">
        <values>
          <value t="str">
            <val>09:57:48</val>
          </value>
        </values>
      </ddeItem>
      <ddeItem name="PAGE.2.59.8" advise="1">
        <values>
          <value t="str">
            <val/>
          </value>
        </values>
      </ddeItem>
      <ddeItem name="PAGE.2.59.9" advise="1">
        <values>
          <value>
            <val>2.8615384619999999</val>
          </value>
        </values>
      </ddeItem>
      <ddeItem name="PAGE.2.6.1" advise="1">
        <values>
          <value t="str">
            <val>16/12</val>
          </value>
        </values>
      </ddeItem>
      <ddeItem name="PAGE.2.6.10" advise="1">
        <values>
          <value>
            <val>119.62</val>
          </value>
        </values>
      </ddeItem>
      <ddeItem name="PAGE.2.6.11" advise="1">
        <values>
          <value t="str">
            <val>TRT040729T14_KESN_T0</val>
          </value>
        </values>
      </ddeItem>
      <ddeItem name="PAGE.2.6.2" advise="1">
        <values>
          <value t="str">
            <val>TRT040729T14</val>
          </value>
        </values>
      </ddeItem>
      <ddeItem name="PAGE.2.6.3" advise="1">
        <values>
          <value>
            <val>99.4</val>
          </value>
        </values>
      </ddeItem>
      <ddeItem name="PAGE.2.6.4" advise="1">
        <values>
          <value t="str">
            <val/>
          </value>
        </values>
      </ddeItem>
      <ddeItem name="PAGE.2.6.5" advise="1">
        <values>
          <value t="str">
            <val/>
          </value>
        </values>
      </ddeItem>
      <ddeItem name="PAGE.2.6.6" advise="1">
        <values>
          <value>
            <val>2000000</val>
          </value>
        </values>
      </ddeItem>
      <ddeItem name="PAGE.2.6.7" advise="1">
        <values>
          <value t="str">
            <val>13:20:26</val>
          </value>
        </values>
      </ddeItem>
      <ddeItem name="PAGE.2.6.8" advise="1">
        <values>
          <value>
            <val>2392395.6</val>
          </value>
        </values>
      </ddeItem>
      <ddeItem name="PAGE.2.6.9" advise="1">
        <values>
          <value>
            <val>20.219780220000001</val>
          </value>
        </values>
      </ddeItem>
      <ddeItem name="PAGE.2.60.1" advise="1">
        <values>
          <value t="str">
            <val>16/12</val>
          </value>
        </values>
      </ddeItem>
      <ddeItem name="PAGE.2.60.10" advise="1">
        <values>
          <value>
            <val>5920</val>
          </value>
        </values>
      </ddeItem>
      <ddeItem name="PAGE.2.60.11" advise="1">
        <values>
          <value t="str">
            <val>TRD200526T17_KESN_T0</val>
          </value>
        </values>
      </ddeItem>
      <ddeItem name="PAGE.2.60.2" advise="1">
        <values>
          <value t="str">
            <val>TRD200526T17</val>
          </value>
        </values>
      </ddeItem>
      <ddeItem name="PAGE.2.60.3" advise="1">
        <values>
          <value>
            <val>5920</val>
          </value>
        </values>
      </ddeItem>
      <ddeItem name="PAGE.2.60.4" advise="1">
        <values>
          <value t="str">
            <val/>
          </value>
        </values>
      </ddeItem>
      <ddeItem name="PAGE.2.60.5" advise="1">
        <values>
          <value t="str">
            <val/>
          </value>
        </values>
      </ddeItem>
      <ddeItem name="PAGE.2.60.6" advise="1">
        <values>
          <value>
            <val>4975</val>
          </value>
        </values>
      </ddeItem>
      <ddeItem name="PAGE.2.60.7" advise="1">
        <values>
          <value t="str">
            <val>12:45:38</val>
          </value>
        </values>
      </ddeItem>
      <ddeItem name="PAGE.2.60.8" advise="1">
        <values>
          <value>
            <val>29452000</val>
          </value>
        </values>
      </ddeItem>
      <ddeItem name="PAGE.2.60.9" advise="1">
        <values>
          <value t="str">
            <val/>
          </value>
        </values>
      </ddeItem>
      <ddeItem name="PAGE.2.61.1" advise="1">
        <values>
          <value t="str">
            <val>17/12</val>
          </value>
        </values>
      </ddeItem>
      <ddeItem name="PAGE.2.61.10" advise="1">
        <values>
          <value t="str">
            <val/>
          </value>
        </values>
      </ddeItem>
      <ddeItem name="PAGE.2.61.11" advise="1">
        <values>
          <value t="str">
            <val>TRT220726F11_KESN_T1</val>
          </value>
        </values>
      </ddeItem>
      <ddeItem name="PAGE.2.61.2" advise="1">
        <values>
          <value t="str">
            <val>TRT220726F11</val>
          </value>
        </values>
      </ddeItem>
      <ddeItem name="PAGE.2.61.3" advise="1">
        <values>
          <value t="str">
            <val/>
          </value>
        </values>
      </ddeItem>
      <ddeItem name="PAGE.2.61.4" advise="1">
        <values>
          <value t="str">
            <val/>
          </value>
        </values>
      </ddeItem>
      <ddeItem name="PAGE.2.61.5" advise="1">
        <values>
          <value t="str">
            <val/>
          </value>
        </values>
      </ddeItem>
      <ddeItem name="PAGE.2.61.6" advise="1">
        <values>
          <value t="str">
            <val/>
          </value>
        </values>
      </ddeItem>
      <ddeItem name="PAGE.2.61.7" advise="1">
        <values>
          <value t="str">
            <val>11:16:02</val>
          </value>
        </values>
      </ddeItem>
      <ddeItem name="PAGE.2.61.8" advise="1">
        <values>
          <value t="str">
            <val/>
          </value>
        </values>
      </ddeItem>
      <ddeItem name="PAGE.2.61.9" advise="1">
        <values>
          <value>
            <val>2.0596153849999999</val>
          </value>
        </values>
      </ddeItem>
      <ddeItem name="PAGE.2.62.1" advise="1">
        <values>
          <value t="str">
            <val>16/12</val>
          </value>
        </values>
      </ddeItem>
      <ddeItem name="PAGE.2.62.10" advise="1">
        <values>
          <value>
            <val>6060</val>
          </value>
        </values>
      </ddeItem>
      <ddeItem name="PAGE.2.62.11" advise="1">
        <values>
          <value t="str">
            <val>TRT030726T18_KESN_T0</val>
          </value>
        </values>
      </ddeItem>
      <ddeItem name="PAGE.2.62.2" advise="1">
        <values>
          <value t="str">
            <val>TRT030726T18</val>
          </value>
        </values>
      </ddeItem>
      <ddeItem name="PAGE.2.62.3" advise="1">
        <values>
          <value>
            <val>6060</val>
          </value>
        </values>
      </ddeItem>
      <ddeItem name="PAGE.2.62.4" advise="1">
        <values>
          <value t="str">
            <val/>
          </value>
        </values>
      </ddeItem>
      <ddeItem name="PAGE.2.62.5" advise="1">
        <values>
          <value t="str">
            <val/>
          </value>
        </values>
      </ddeItem>
      <ddeItem name="PAGE.2.62.6" advise="1">
        <values>
          <value>
            <val>5970</val>
          </value>
        </values>
      </ddeItem>
      <ddeItem name="PAGE.2.62.7" advise="1">
        <values>
          <value t="str">
            <val>13:51:54</val>
          </value>
        </values>
      </ddeItem>
      <ddeItem name="PAGE.2.62.8" advise="1">
        <values>
          <value>
            <val>36178200</val>
          </value>
        </values>
      </ddeItem>
      <ddeItem name="PAGE.2.62.9" advise="1">
        <values>
          <value t="str">
            <val/>
          </value>
        </values>
      </ddeItem>
      <ddeItem name="PAGE.2.63.1" advise="1">
        <values>
          <value t="str">
            <val>16/12</val>
          </value>
        </values>
      </ddeItem>
      <ddeItem name="PAGE.2.63.10" advise="1">
        <values>
          <value t="str">
            <val/>
          </value>
        </values>
      </ddeItem>
      <ddeItem name="PAGE.2.63.11" advise="1">
        <values>
          <value t="str">
            <val>TRD200127T10_KESN_T0</val>
          </value>
        </values>
      </ddeItem>
      <ddeItem name="PAGE.2.63.2" advise="1">
        <values>
          <value t="str">
            <val>TRD200127T10</val>
          </value>
        </values>
      </ddeItem>
      <ddeItem name="PAGE.2.63.3" advise="1">
        <values>
          <value t="str">
            <val/>
          </value>
        </values>
      </ddeItem>
      <ddeItem name="PAGE.2.63.4" advise="1">
        <values>
          <value t="str">
            <val/>
          </value>
        </values>
      </ddeItem>
      <ddeItem name="PAGE.2.63.5" advise="1">
        <values>
          <value t="str">
            <val/>
          </value>
        </values>
      </ddeItem>
      <ddeItem name="PAGE.2.63.6" advise="1">
        <values>
          <value t="str">
            <val/>
          </value>
        </values>
      </ddeItem>
      <ddeItem name="PAGE.2.63.7" advise="1">
        <values>
          <value t="str">
            <val>10:02:37</val>
          </value>
        </values>
      </ddeItem>
      <ddeItem name="PAGE.2.63.8" advise="1">
        <values>
          <value t="str">
            <val/>
          </value>
        </values>
      </ddeItem>
      <ddeItem name="PAGE.2.63.9" advise="1">
        <values>
          <value>
            <val>0</val>
          </value>
        </values>
      </ddeItem>
      <ddeItem name="PAGE.2.64.1" advise="1">
        <values>
          <value t="str">
            <val>16/12</val>
          </value>
        </values>
      </ddeItem>
      <ddeItem name="PAGE.2.64.10" advise="1">
        <values>
          <value t="str">
            <val/>
          </value>
        </values>
      </ddeItem>
      <ddeItem name="PAGE.2.64.11" advise="1">
        <values>
          <value t="str">
            <val>TRD220726T13_KESN_T0</val>
          </value>
        </values>
      </ddeItem>
      <ddeItem name="PAGE.2.64.2" advise="1">
        <values>
          <value t="str">
            <val>TRD220726T13</val>
          </value>
        </values>
      </ddeItem>
      <ddeItem name="PAGE.2.64.3" advise="1">
        <values>
          <value t="str">
            <val/>
          </value>
        </values>
      </ddeItem>
      <ddeItem name="PAGE.2.64.4" advise="1">
        <values>
          <value t="str">
            <val/>
          </value>
        </values>
      </ddeItem>
      <ddeItem name="PAGE.2.64.5" advise="1">
        <values>
          <value t="str">
            <val/>
          </value>
        </values>
      </ddeItem>
      <ddeItem name="PAGE.2.64.6" advise="1">
        <values>
          <value t="str">
            <val/>
          </value>
        </values>
      </ddeItem>
      <ddeItem name="PAGE.2.64.7" advise="1">
        <values>
          <value t="str">
            <val>12:41:31</val>
          </value>
        </values>
      </ddeItem>
      <ddeItem name="PAGE.2.64.8" advise="1">
        <values>
          <value t="str">
            <val/>
          </value>
        </values>
      </ddeItem>
      <ddeItem name="PAGE.2.64.9" advise="1">
        <values>
          <value>
            <val>15.458351648000001</val>
          </value>
        </values>
      </ddeItem>
      <ddeItem name="PAGE.2.65.1" advise="1">
        <values>
          <value t="str">
            <val>16/12</val>
          </value>
        </values>
      </ddeItem>
      <ddeItem name="PAGE.2.65.10" advise="1">
        <values>
          <value t="str">
            <val/>
          </value>
        </values>
      </ddeItem>
      <ddeItem name="PAGE.2.65.11" advise="1">
        <values>
          <value t="str">
            <val>TRD120826T14_KESN_T0</val>
          </value>
        </values>
      </ddeItem>
      <ddeItem name="PAGE.2.65.2" advise="1">
        <values>
          <value t="str">
            <val>TRD120826T14</val>
          </value>
        </values>
      </ddeItem>
      <ddeItem name="PAGE.2.65.3" advise="1">
        <values>
          <value t="str">
            <val/>
          </value>
        </values>
      </ddeItem>
      <ddeItem name="PAGE.2.65.4" advise="1">
        <values>
          <value t="str">
            <val/>
          </value>
        </values>
      </ddeItem>
      <ddeItem name="PAGE.2.65.5" advise="1">
        <values>
          <value t="str">
            <val/>
          </value>
        </values>
      </ddeItem>
      <ddeItem name="PAGE.2.65.6" advise="1">
        <values>
          <value t="str">
            <val/>
          </value>
        </values>
      </ddeItem>
      <ddeItem name="PAGE.2.65.7" advise="1">
        <values>
          <value t="str">
            <val>10:19:53</val>
          </value>
        </values>
      </ddeItem>
      <ddeItem name="PAGE.2.65.8" advise="1">
        <values>
          <value t="str">
            <val/>
          </value>
        </values>
      </ddeItem>
      <ddeItem name="PAGE.2.65.9" advise="1">
        <values>
          <value>
            <val>12.946428571</val>
          </value>
        </values>
      </ddeItem>
      <ddeItem name="PAGE.2.66.1" advise="1">
        <values>
          <value t="str">
            <val>16/12</val>
          </value>
        </values>
      </ddeItem>
      <ddeItem name="PAGE.2.66.10" advise="1">
        <values>
          <value t="str">
            <val/>
          </value>
        </values>
      </ddeItem>
      <ddeItem name="PAGE.2.66.11" advise="1">
        <values>
          <value t="str">
            <val>TRD141026T18_KESN_T0</val>
          </value>
        </values>
      </ddeItem>
      <ddeItem name="PAGE.2.66.2" advise="1">
        <values>
          <value t="str">
            <val>TRD141026T18</val>
          </value>
        </values>
      </ddeItem>
      <ddeItem name="PAGE.2.66.3" advise="1">
        <values>
          <value t="str">
            <val/>
          </value>
        </values>
      </ddeItem>
      <ddeItem name="PAGE.2.66.4" advise="1">
        <values>
          <value t="str">
            <val/>
          </value>
        </values>
      </ddeItem>
      <ddeItem name="PAGE.2.66.5" advise="1">
        <values>
          <value t="str">
            <val/>
          </value>
        </values>
      </ddeItem>
      <ddeItem name="PAGE.2.66.6" advise="1">
        <values>
          <value t="str">
            <val/>
          </value>
        </values>
      </ddeItem>
      <ddeItem name="PAGE.2.66.7" advise="1">
        <values>
          <value t="str">
            <val>10:07:57</val>
          </value>
        </values>
      </ddeItem>
      <ddeItem name="PAGE.2.66.8" advise="1">
        <values>
          <value t="str">
            <val/>
          </value>
        </values>
      </ddeItem>
      <ddeItem name="PAGE.2.66.9" advise="1">
        <values>
          <value>
            <val>6.6564835159999998</val>
          </value>
        </values>
      </ddeItem>
      <ddeItem name="PAGE.2.67.1" advise="1">
        <values>
          <value t="str">
            <val>16/12</val>
          </value>
        </values>
      </ddeItem>
      <ddeItem name="PAGE.2.67.10" advise="1">
        <values>
          <value t="str">
            <val/>
          </value>
        </values>
      </ddeItem>
      <ddeItem name="PAGE.2.67.11" advise="1">
        <values>
          <value t="str">
            <val>TRD100227T11_KESN_T0</val>
          </value>
        </values>
      </ddeItem>
      <ddeItem name="PAGE.2.67.2" advise="1">
        <values>
          <value t="str">
            <val>TRD100227T11</val>
          </value>
        </values>
      </ddeItem>
      <ddeItem name="PAGE.2.67.3" advise="1">
        <values>
          <value t="str">
            <val/>
          </value>
        </values>
      </ddeItem>
      <ddeItem name="PAGE.2.67.4" advise="1">
        <values>
          <value t="str">
            <val/>
          </value>
        </values>
      </ddeItem>
      <ddeItem name="PAGE.2.67.5" advise="1">
        <values>
          <value t="str">
            <val/>
          </value>
        </values>
      </ddeItem>
      <ddeItem name="PAGE.2.67.6" advise="1">
        <values>
          <value t="str">
            <val/>
          </value>
        </values>
      </ddeItem>
      <ddeItem name="PAGE.2.67.7" advise="1">
        <values>
          <value t="str">
            <val>11:51:19</val>
          </value>
        </values>
      </ddeItem>
      <ddeItem name="PAGE.2.67.8" advise="1">
        <values>
          <value t="str">
            <val/>
          </value>
        </values>
      </ddeItem>
      <ddeItem name="PAGE.2.67.9" advise="1">
        <values>
          <value>
            <val>11.923076923</val>
          </value>
        </values>
      </ddeItem>
      <ddeItem name="PAGE.2.68.1" advise="1">
        <values>
          <value t="str">
            <val>16/12</val>
          </value>
        </values>
      </ddeItem>
      <ddeItem name="PAGE.2.68.10" advise="1">
        <values>
          <value t="str">
            <val/>
          </value>
        </values>
      </ddeItem>
      <ddeItem name="PAGE.2.68.11" advise="1">
        <values>
          <value t="str">
            <val>TRFQYBN12610_KESN_T0</val>
          </value>
        </values>
      </ddeItem>
      <ddeItem name="PAGE.2.68.2" advise="1">
        <values>
          <value t="str">
            <val>TRFQYBN12610</val>
          </value>
        </values>
      </ddeItem>
      <ddeItem name="PAGE.2.68.3" advise="1">
        <values>
          <value t="str">
            <val/>
          </value>
        </values>
      </ddeItem>
      <ddeItem name="PAGE.2.68.4" advise="1">
        <values>
          <value t="str">
            <val/>
          </value>
        </values>
      </ddeItem>
      <ddeItem name="PAGE.2.68.5" advise="1">
        <values>
          <value t="str">
            <val/>
          </value>
        </values>
      </ddeItem>
      <ddeItem name="PAGE.2.68.6" advise="1">
        <values>
          <value t="str">
            <val/>
          </value>
        </values>
      </ddeItem>
      <ddeItem name="PAGE.2.68.7" advise="1">
        <values>
          <value t="str">
            <val>10:22:09</val>
          </value>
        </values>
      </ddeItem>
      <ddeItem name="PAGE.2.68.8" advise="1">
        <values>
          <value t="str">
            <val/>
          </value>
        </values>
      </ddeItem>
      <ddeItem name="PAGE.2.68.9" advise="1">
        <values>
          <value>
            <val>21.698387097000001</val>
          </value>
        </values>
      </ddeItem>
      <ddeItem name="PAGE.2.69.1" advise="1">
        <values>
          <value t="str">
            <val>16/12</val>
          </value>
        </values>
      </ddeItem>
      <ddeItem name="PAGE.2.69.10" advise="1">
        <values>
          <value t="str">
            <val/>
          </value>
        </values>
      </ddeItem>
      <ddeItem name="PAGE.2.69.11" advise="1">
        <values>
          <value t="str">
            <val>TRFTERA72613_KESN_T0</val>
          </value>
        </values>
      </ddeItem>
      <ddeItem name="PAGE.2.69.2" advise="1">
        <values>
          <value t="str">
            <val>TRFTERA72613</val>
          </value>
        </values>
      </ddeItem>
      <ddeItem name="PAGE.2.69.3" advise="1">
        <values>
          <value t="str">
            <val/>
          </value>
        </values>
      </ddeItem>
      <ddeItem name="PAGE.2.69.4" advise="1">
        <values>
          <value t="str">
            <val/>
          </value>
        </values>
      </ddeItem>
      <ddeItem name="PAGE.2.69.5" advise="1">
        <values>
          <value t="str">
            <val/>
          </value>
        </values>
      </ddeItem>
      <ddeItem name="PAGE.2.69.6" advise="1">
        <values>
          <value t="str">
            <val/>
          </value>
        </values>
      </ddeItem>
      <ddeItem name="PAGE.2.69.7" advise="1">
        <values>
          <value t="str">
            <val>10:04:11</val>
          </value>
        </values>
      </ddeItem>
      <ddeItem name="PAGE.2.69.8" advise="1">
        <values>
          <value t="str">
            <val/>
          </value>
        </values>
      </ddeItem>
      <ddeItem name="PAGE.2.69.9" advise="1">
        <values>
          <value t="str">
            <val/>
          </value>
        </values>
      </ddeItem>
      <ddeItem name="PAGE.2.7.1" advise="1">
        <values>
          <value t="str">
            <val>16/12</val>
          </value>
        </values>
      </ddeItem>
      <ddeItem name="PAGE.2.7.10" advise="1">
        <values>
          <value>
            <val>108.461</val>
          </value>
        </values>
      </ddeItem>
      <ddeItem name="PAGE.2.7.11" advise="1">
        <values>
          <value t="str">
            <val>TRT080426T16_KESN_T0</val>
          </value>
        </values>
      </ddeItem>
      <ddeItem name="PAGE.2.7.2" advise="1">
        <values>
          <value t="str">
            <val>TRT080426T16</val>
          </value>
        </values>
      </ddeItem>
      <ddeItem name="PAGE.2.7.3" advise="1">
        <values>
          <value>
            <val>100.72499999999999</val>
          </value>
        </values>
      </ddeItem>
      <ddeItem name="PAGE.2.7.4" advise="1">
        <values>
          <value t="str">
            <val/>
          </value>
        </values>
      </ddeItem>
      <ddeItem name="PAGE.2.7.5" advise="1">
        <values>
          <value t="str">
            <val/>
          </value>
        </values>
      </ddeItem>
      <ddeItem name="PAGE.2.7.6" advise="1">
        <values>
          <value>
            <val>25000000</val>
          </value>
        </values>
      </ddeItem>
      <ddeItem name="PAGE.2.7.7" advise="1">
        <values>
          <value t="str">
            <val>13:41:35</val>
          </value>
        </values>
      </ddeItem>
      <ddeItem name="PAGE.2.7.8" advise="1">
        <values>
          <value>
            <val>27115366.690000001</val>
          </value>
        </values>
      </ddeItem>
      <ddeItem name="PAGE.2.7.9" advise="1">
        <values>
          <value>
            <val>7.7364667389999999</val>
          </value>
        </values>
      </ddeItem>
      <ddeItem name="PAGE.2.70.1" advise="1">
        <values>
          <value t="str">
            <val>16/12</val>
          </value>
        </values>
      </ddeItem>
      <ddeItem name="PAGE.2.70.10" advise="1">
        <values>
          <value t="str">
            <val/>
          </value>
        </values>
      </ddeItem>
      <ddeItem name="PAGE.2.70.11" advise="1">
        <values>
          <value t="str">
            <val>TRDGLVKK2611_KESN_T0</val>
          </value>
        </values>
      </ddeItem>
      <ddeItem name="PAGE.2.70.2" advise="1">
        <values>
          <value t="str">
            <val>TRDGLVKK2611</val>
          </value>
        </values>
      </ddeItem>
      <ddeItem name="PAGE.2.70.3" advise="1">
        <values>
          <value t="str">
            <val/>
          </value>
        </values>
      </ddeItem>
      <ddeItem name="PAGE.2.70.4" advise="1">
        <values>
          <value t="str">
            <val/>
          </value>
        </values>
      </ddeItem>
      <ddeItem name="PAGE.2.70.5" advise="1">
        <values>
          <value t="str">
            <val/>
          </value>
        </values>
      </ddeItem>
      <ddeItem name="PAGE.2.70.6" advise="1">
        <values>
          <value t="str">
            <val/>
          </value>
        </values>
      </ddeItem>
      <ddeItem name="PAGE.2.70.7" advise="1">
        <values>
          <value t="str">
            <val>10:06:23</val>
          </value>
        </values>
      </ddeItem>
      <ddeItem name="PAGE.2.70.8" advise="1">
        <values>
          <value t="str">
            <val/>
          </value>
        </values>
      </ddeItem>
      <ddeItem name="PAGE.2.70.9" advise="1">
        <values>
          <value>
            <val>4.5451846150000002</val>
          </value>
        </values>
      </ddeItem>
      <ddeItem name="PAGE.2.71.1" advise="1">
        <values>
          <value t="str">
            <val>17/12</val>
          </value>
        </values>
      </ddeItem>
      <ddeItem name="PAGE.2.71.10" advise="1">
        <values>
          <value>
            <val>108.36499999999999</val>
          </value>
        </values>
      </ddeItem>
      <ddeItem name="PAGE.2.71.11" advise="1">
        <values>
          <value t="str">
            <val>TRT131027T36_KESN_T1</val>
          </value>
        </values>
      </ddeItem>
      <ddeItem name="PAGE.2.71.2" advise="1">
        <values>
          <value t="str">
            <val>TRT131027T36</val>
          </value>
        </values>
      </ddeItem>
      <ddeItem name="PAGE.2.71.3" advise="1">
        <values>
          <value>
            <val>101.999</val>
          </value>
        </values>
      </ddeItem>
      <ddeItem name="PAGE.2.71.4" advise="1">
        <values>
          <value>
            <val>34.950000000000003</val>
          </value>
        </values>
      </ddeItem>
      <ddeItem name="PAGE.2.71.5" advise="1">
        <values>
          <value>
            <val>38</val>
          </value>
        </values>
      </ddeItem>
      <ddeItem name="PAGE.2.71.6" advise="1">
        <values>
          <value>
            <val>142000000</val>
          </value>
        </values>
      </ddeItem>
      <ddeItem name="PAGE.2.71.7" advise="1">
        <values>
          <value t="str">
            <val>14:03:23</val>
          </value>
        </values>
      </ddeItem>
      <ddeItem name="PAGE.2.71.8" advise="1">
        <values>
          <value>
            <val>153878392.30000001</val>
          </value>
        </values>
      </ddeItem>
      <ddeItem name="PAGE.2.71.9" advise="1">
        <values>
          <value>
            <val>6.3657692309999998</val>
          </value>
        </values>
      </ddeItem>
      <ddeItem name="PAGE.2.72.1" advise="1">
        <values>
          <value t="str">
            <val>16/12</val>
          </value>
        </values>
      </ddeItem>
      <ddeItem name="PAGE.2.72.10" advise="1">
        <values>
          <value>
            <val>101.848</val>
          </value>
        </values>
      </ddeItem>
      <ddeItem name="PAGE.2.72.11" advise="1">
        <values>
          <value t="str">
            <val>TRDZKVK32633_KESN_T0</val>
          </value>
        </values>
      </ddeItem>
      <ddeItem name="PAGE.2.72.2" advise="1">
        <values>
          <value t="str">
            <val>TRDZKVK32633</val>
          </value>
        </values>
      </ddeItem>
      <ddeItem name="PAGE.2.72.3" advise="1">
        <values>
          <value>
            <val>101.232</val>
          </value>
        </values>
      </ddeItem>
      <ddeItem name="PAGE.2.72.4" advise="1">
        <values>
          <value>
            <val>31.97</val>
          </value>
        </values>
      </ddeItem>
      <ddeItem name="PAGE.2.72.5" advise="1">
        <values>
          <value>
            <val>36.020000000000003</val>
          </value>
        </values>
      </ddeItem>
      <ddeItem name="PAGE.2.72.6" advise="1">
        <values>
          <value>
            <val>1999900000</val>
          </value>
        </values>
      </ddeItem>
      <ddeItem name="PAGE.2.72.7" advise="1">
        <values>
          <value t="str">
            <val>10:11:35</val>
          </value>
        </values>
      </ddeItem>
      <ddeItem name="PAGE.2.72.8" advise="1">
        <values>
          <value>
            <val>2036866914.3699999</val>
          </value>
        </values>
      </ddeItem>
      <ddeItem name="PAGE.2.72.9" advise="1">
        <values>
          <value>
            <val>0.61643814399999997</val>
          </value>
        </values>
      </ddeItem>
      <ddeItem name="PAGE.2.73.1" advise="1">
        <values>
          <value t="str">
            <val>16/12</val>
          </value>
        </values>
      </ddeItem>
      <ddeItem name="PAGE.2.73.10" advise="1">
        <values>
          <value>
            <val>108.38800000000001</val>
          </value>
        </values>
      </ddeItem>
      <ddeItem name="PAGE.2.73.11" advise="1">
        <values>
          <value t="str">
            <val>TRT100227T13_KESN_T0</val>
          </value>
        </values>
      </ddeItem>
      <ddeItem name="PAGE.2.73.2" advise="1">
        <values>
          <value t="str">
            <val>TRT100227T13</val>
          </value>
        </values>
      </ddeItem>
      <ddeItem name="PAGE.2.73.3" advise="1">
        <values>
          <value>
            <val>97.192999999999998</val>
          </value>
        </values>
      </ddeItem>
      <ddeItem name="PAGE.2.73.4" advise="1">
        <values>
          <value>
            <val>35.44</val>
          </value>
        </values>
      </ddeItem>
      <ddeItem name="PAGE.2.73.5" advise="1">
        <values>
          <value>
            <val>38.58</val>
          </value>
        </values>
      </ddeItem>
      <ddeItem name="PAGE.2.73.6" advise="1">
        <values>
          <value>
            <val>15000000</val>
          </value>
        </values>
      </ddeItem>
      <ddeItem name="PAGE.2.73.7" advise="1">
        <values>
          <value t="str">
            <val>13:09:53</val>
          </value>
        </values>
      </ddeItem>
      <ddeItem name="PAGE.2.73.8" advise="1">
        <values>
          <value>
            <val>16258258.24</val>
          </value>
        </values>
      </ddeItem>
      <ddeItem name="PAGE.2.73.9" advise="1">
        <values>
          <value>
            <val>11.195054945000001</val>
          </value>
        </values>
      </ddeItem>
      <ddeItem name="PAGE.2.74.1" advise="1">
        <values>
          <value t="str">
            <val>16/12</val>
          </value>
        </values>
      </ddeItem>
      <ddeItem name="PAGE.2.74.10" advise="1">
        <values>
          <value>
            <val>107.384</val>
          </value>
        </values>
      </ddeItem>
      <ddeItem name="PAGE.2.74.11" advise="1">
        <values>
          <value t="str">
            <val>TRT131027T10_KESN_T0</val>
          </value>
        </values>
      </ddeItem>
      <ddeItem name="PAGE.2.74.2" advise="1">
        <values>
          <value t="str">
            <val>TRT131027T10</val>
          </value>
        </values>
      </ddeItem>
      <ddeItem name="PAGE.2.74.3" advise="1">
        <values>
          <value>
            <val>100.47499999999999</val>
          </value>
        </values>
      </ddeItem>
      <ddeItem name="PAGE.2.74.4" advise="1">
        <values>
          <value t="str">
            <val/>
          </value>
        </values>
      </ddeItem>
      <ddeItem name="PAGE.2.74.5" advise="1">
        <values>
          <value t="str">
            <val/>
          </value>
        </values>
      </ddeItem>
      <ddeItem name="PAGE.2.74.6" advise="1">
        <values>
          <value>
            <val>10000000</val>
          </value>
        </values>
      </ddeItem>
      <ddeItem name="PAGE.2.74.7" advise="1">
        <values>
          <value t="str">
            <val>13:37:00</val>
          </value>
        </values>
      </ddeItem>
      <ddeItem name="PAGE.2.74.8" advise="1">
        <values>
          <value>
            <val>10738378.75</val>
          </value>
        </values>
      </ddeItem>
      <ddeItem name="PAGE.2.74.9" advise="1">
        <values>
          <value>
            <val>6.9087875079999996</val>
          </value>
        </values>
      </ddeItem>
      <ddeItem name="PAGE.2.75.1" advise="1">
        <values>
          <value t="str">
            <val>16/12</val>
          </value>
        </values>
      </ddeItem>
      <ddeItem name="PAGE.2.75.10" advise="1">
        <values>
          <value>
            <val>81.626999999999995</val>
          </value>
        </values>
      </ddeItem>
      <ddeItem name="PAGE.2.75.11" advise="1">
        <values>
          <value t="str">
            <val>TRT190728T18_KESN_T0</val>
          </value>
        </values>
      </ddeItem>
      <ddeItem name="PAGE.2.75.2" advise="1">
        <values>
          <value t="str">
            <val>TRT190728T18</val>
          </value>
        </values>
      </ddeItem>
      <ddeItem name="PAGE.2.75.3" advise="1">
        <values>
          <value>
            <val>74.688000000000002</val>
          </value>
        </values>
      </ddeItem>
      <ddeItem name="PAGE.2.75.4" advise="1">
        <values>
          <value>
            <val>32.369999999999997</val>
          </value>
        </values>
      </ddeItem>
      <ddeItem name="PAGE.2.75.5" advise="1">
        <values>
          <value>
            <val>34.99</val>
          </value>
        </values>
      </ddeItem>
      <ddeItem name="PAGE.2.75.6" advise="1">
        <values>
          <value>
            <val>4000000</val>
          </value>
        </values>
      </ddeItem>
      <ddeItem name="PAGE.2.75.7" advise="1">
        <values>
          <value t="str">
            <val>13:35:53</val>
          </value>
        </values>
      </ddeItem>
      <ddeItem name="PAGE.2.75.8" advise="1">
        <values>
          <value>
            <val>3265060.44</val>
          </value>
        </values>
      </ddeItem>
      <ddeItem name="PAGE.2.75.9" advise="1">
        <values>
          <value>
            <val>6.9390109889999998</val>
          </value>
        </values>
      </ddeItem>
      <ddeItem name="PAGE.2.76.1" advise="1">
        <values>
          <value t="str">
            <val>16/12</val>
          </value>
        </values>
      </ddeItem>
      <ddeItem name="PAGE.2.76.10" advise="1">
        <values>
          <value t="str">
            <val/>
          </value>
        </values>
      </ddeItem>
      <ddeItem name="PAGE.2.76.11" advise="1">
        <values>
          <value t="str">
            <val>TRFVEST12613_KESN_T0</val>
          </value>
        </values>
      </ddeItem>
      <ddeItem name="PAGE.2.76.2" advise="1">
        <values>
          <value t="str">
            <val>TRFVEST12613</val>
          </value>
        </values>
      </ddeItem>
      <ddeItem name="PAGE.2.76.3" advise="1">
        <values>
          <value t="str">
            <val/>
          </value>
        </values>
      </ddeItem>
      <ddeItem name="PAGE.2.76.4" advise="1">
        <values>
          <value t="str">
            <val/>
          </value>
        </values>
      </ddeItem>
      <ddeItem name="PAGE.2.76.5" advise="1">
        <values>
          <value t="str">
            <val/>
          </value>
        </values>
      </ddeItem>
      <ddeItem name="PAGE.2.76.6" advise="1">
        <values>
          <value t="str">
            <val/>
          </value>
        </values>
      </ddeItem>
      <ddeItem name="PAGE.2.76.7" advise="1">
        <values>
          <value t="str">
            <val>10:14:05</val>
          </value>
        </values>
      </ddeItem>
      <ddeItem name="PAGE.2.76.8" advise="1">
        <values>
          <value t="str">
            <val/>
          </value>
        </values>
      </ddeItem>
      <ddeItem name="PAGE.2.76.9" advise="1">
        <values>
          <value>
            <val>19.142509580999999</val>
          </value>
        </values>
      </ddeItem>
      <ddeItem name="PAGE.2.77.1" advise="1">
        <values>
          <value t="str">
            <val>16/12</val>
          </value>
        </values>
      </ddeItem>
      <ddeItem name="PAGE.2.77.10" advise="1">
        <values>
          <value t="str">
            <val/>
          </value>
        </values>
      </ddeItem>
      <ddeItem name="PAGE.2.77.11" advise="1">
        <values>
          <value t="str">
            <val>TRT140126T11_KESN_T0</val>
          </value>
        </values>
      </ddeItem>
      <ddeItem name="PAGE.2.77.2" advise="1">
        <values>
          <value t="str">
            <val>TRT140126T11</val>
          </value>
        </values>
      </ddeItem>
      <ddeItem name="PAGE.2.77.3" advise="1">
        <values>
          <value t="str">
            <val/>
          </value>
        </values>
      </ddeItem>
      <ddeItem name="PAGE.2.77.4" advise="1">
        <values>
          <value t="str">
            <val/>
          </value>
        </values>
      </ddeItem>
      <ddeItem name="PAGE.2.77.5" advise="1">
        <values>
          <value t="str">
            <val/>
          </value>
        </values>
      </ddeItem>
      <ddeItem name="PAGE.2.77.6" advise="1">
        <values>
          <value t="str">
            <val/>
          </value>
        </values>
      </ddeItem>
      <ddeItem name="PAGE.2.77.7" advise="1">
        <values>
          <value t="str">
            <val>10:49:04</val>
          </value>
        </values>
      </ddeItem>
      <ddeItem name="PAGE.2.77.8" advise="1">
        <values>
          <value t="str">
            <val/>
          </value>
        </values>
      </ddeItem>
      <ddeItem name="PAGE.2.77.9" advise="1">
        <values>
          <value>
            <val>1.13489011</val>
          </value>
        </values>
      </ddeItem>
      <ddeItem name="PAGE.2.78.1" advise="1">
        <values>
          <value t="str">
            <val>16/12</val>
          </value>
        </values>
      </ddeItem>
      <ddeItem name="PAGE.2.78.10" advise="1">
        <values>
          <value t="str">
            <val/>
          </value>
        </values>
      </ddeItem>
      <ddeItem name="PAGE.2.78.11" advise="1">
        <values>
          <value t="str">
            <val>TRFDRDLA2510_KESN_T0</val>
          </value>
        </values>
      </ddeItem>
      <ddeItem name="PAGE.2.78.2" advise="1">
        <values>
          <value t="str">
            <val>TRFDRDLA2510</val>
          </value>
        </values>
      </ddeItem>
      <ddeItem name="PAGE.2.78.3" advise="1">
        <values>
          <value t="str">
            <val/>
          </value>
        </values>
      </ddeItem>
      <ddeItem name="PAGE.2.78.4" advise="1">
        <values>
          <value t="str">
            <val/>
          </value>
        </values>
      </ddeItem>
      <ddeItem name="PAGE.2.78.5" advise="1">
        <values>
          <value t="str">
            <val/>
          </value>
        </values>
      </ddeItem>
      <ddeItem name="PAGE.2.78.6" advise="1">
        <values>
          <value t="str">
            <val/>
          </value>
        </values>
      </ddeItem>
      <ddeItem name="PAGE.2.78.7" advise="1">
        <values>
          <value t="str">
            <val>10:21:10</val>
          </value>
        </values>
      </ddeItem>
      <ddeItem name="PAGE.2.78.8" advise="1">
        <values>
          <value t="str">
            <val/>
          </value>
        </values>
      </ddeItem>
      <ddeItem name="PAGE.2.78.9" advise="1">
        <values>
          <value>
            <val>7.8411733330000004</val>
          </value>
        </values>
      </ddeItem>
      <ddeItem name="PAGE.2.79.1" advise="1">
        <values>
          <value t="str">
            <val>16/12</val>
          </value>
        </values>
      </ddeItem>
      <ddeItem name="PAGE.2.79.10" advise="1">
        <values>
          <value t="str">
            <val/>
          </value>
        </values>
      </ddeItem>
      <ddeItem name="PAGE.2.79.11" advise="1">
        <values>
          <value t="str">
            <val>TRFGZNMA2514_KESN_T0</val>
          </value>
        </values>
      </ddeItem>
      <ddeItem name="PAGE.2.79.2" advise="1">
        <values>
          <value t="str">
            <val>TRFGZNMA2514</val>
          </value>
        </values>
      </ddeItem>
      <ddeItem name="PAGE.2.79.3" advise="1">
        <values>
          <value t="str">
            <val/>
          </value>
        </values>
      </ddeItem>
      <ddeItem name="PAGE.2.79.4" advise="1">
        <values>
          <value t="str">
            <val/>
          </value>
        </values>
      </ddeItem>
      <ddeItem name="PAGE.2.79.5" advise="1">
        <values>
          <value t="str">
            <val/>
          </value>
        </values>
      </ddeItem>
      <ddeItem name="PAGE.2.79.6" advise="1">
        <values>
          <value t="str">
            <val/>
          </value>
        </values>
      </ddeItem>
      <ddeItem name="PAGE.2.79.7" advise="1">
        <values>
          <value t="str">
            <val>10:21:41</val>
          </value>
        </values>
      </ddeItem>
      <ddeItem name="PAGE.2.79.8" advise="1">
        <values>
          <value t="str">
            <val/>
          </value>
        </values>
      </ddeItem>
      <ddeItem name="PAGE.2.79.9" advise="1">
        <values>
          <value t="str">
            <val/>
          </value>
        </values>
      </ddeItem>
      <ddeItem name="PAGE.2.8.1" advise="1">
        <values>
          <value t="str">
            <val>17/12</val>
          </value>
        </values>
      </ddeItem>
      <ddeItem name="PAGE.2.8.10" advise="1">
        <values>
          <value t="str">
            <val/>
          </value>
        </values>
      </ddeItem>
      <ddeItem name="PAGE.2.8.11" advise="1">
        <values>
          <value t="str">
            <val>TRD080927T34_KESN_T1</val>
          </value>
        </values>
      </ddeItem>
      <ddeItem name="PAGE.2.8.2" advise="1">
        <values>
          <value t="str">
            <val>TRD080927T34</val>
          </value>
        </values>
      </ddeItem>
      <ddeItem name="PAGE.2.8.3" advise="1">
        <values>
          <value t="str">
            <val/>
          </value>
        </values>
      </ddeItem>
      <ddeItem name="PAGE.2.8.4" advise="1">
        <values>
          <value t="str">
            <val/>
          </value>
        </values>
      </ddeItem>
      <ddeItem name="PAGE.2.8.5" advise="1">
        <values>
          <value t="str">
            <val/>
          </value>
        </values>
      </ddeItem>
      <ddeItem name="PAGE.2.8.6" advise="1">
        <values>
          <value t="str">
            <val/>
          </value>
        </values>
      </ddeItem>
      <ddeItem name="PAGE.2.8.7" advise="1">
        <values>
          <value t="str">
            <val>13:48:39</val>
          </value>
        </values>
      </ddeItem>
      <ddeItem name="PAGE.2.8.8" advise="1">
        <values>
          <value t="str">
            <val/>
          </value>
        </values>
      </ddeItem>
      <ddeItem name="PAGE.2.8.9" advise="1">
        <values>
          <value>
            <val>11.576923077</val>
          </value>
        </values>
      </ddeItem>
      <ddeItem name="PAGE.2.80.1" advise="1">
        <values>
          <value t="str">
            <val>16/12</val>
          </value>
        </values>
      </ddeItem>
      <ddeItem name="PAGE.2.80.10" advise="1">
        <values>
          <value t="str">
            <val/>
          </value>
        </values>
      </ddeItem>
      <ddeItem name="PAGE.2.80.11" advise="1">
        <values>
          <value t="str">
            <val>TRFAKDN12619_KESN_T0</val>
          </value>
        </values>
      </ddeItem>
      <ddeItem name="PAGE.2.80.2" advise="1">
        <values>
          <value t="str">
            <val>TRFAKDN12619</val>
          </value>
        </values>
      </ddeItem>
      <ddeItem name="PAGE.2.80.3" advise="1">
        <values>
          <value t="str">
            <val/>
          </value>
        </values>
      </ddeItem>
      <ddeItem name="PAGE.2.80.4" advise="1">
        <values>
          <value t="str">
            <val/>
          </value>
        </values>
      </ddeItem>
      <ddeItem name="PAGE.2.80.5" advise="1">
        <values>
          <value t="str">
            <val/>
          </value>
        </values>
      </ddeItem>
      <ddeItem name="PAGE.2.80.6" advise="1">
        <values>
          <value t="str">
            <val/>
          </value>
        </values>
      </ddeItem>
      <ddeItem name="PAGE.2.80.7" advise="1">
        <values>
          <value t="str">
            <val>10:17:43</val>
          </value>
        </values>
      </ddeItem>
      <ddeItem name="PAGE.2.80.8" advise="1">
        <values>
          <value t="str">
            <val/>
          </value>
        </values>
      </ddeItem>
      <ddeItem name="PAGE.2.80.9" advise="1">
        <values>
          <value t="str">
            <val/>
          </value>
        </values>
      </ddeItem>
      <ddeItem name="PAGE.2.81.1" advise="1">
        <values>
          <value t="str">
            <val>17/12</val>
          </value>
        </values>
      </ddeItem>
      <ddeItem name="PAGE.2.81.10" advise="1">
        <values>
          <value t="str">
            <val/>
          </value>
        </values>
      </ddeItem>
      <ddeItem name="PAGE.2.81.11" advise="1">
        <values>
          <value t="str">
            <val>TRFBORL12613_KESN_T1</val>
          </value>
        </values>
      </ddeItem>
      <ddeItem name="PAGE.2.81.2" advise="1">
        <values>
          <value t="str">
            <val>TRFBORL12613</val>
          </value>
        </values>
      </ddeItem>
      <ddeItem name="PAGE.2.81.3" advise="1">
        <values>
          <value t="str">
            <val/>
          </value>
        </values>
      </ddeItem>
      <ddeItem name="PAGE.2.81.4" advise="1">
        <values>
          <value t="str">
            <val/>
          </value>
        </values>
      </ddeItem>
      <ddeItem name="PAGE.2.81.5" advise="1">
        <values>
          <value t="str">
            <val/>
          </value>
        </values>
      </ddeItem>
      <ddeItem name="PAGE.2.81.6" advise="1">
        <values>
          <value t="str">
            <val/>
          </value>
        </values>
      </ddeItem>
      <ddeItem name="PAGE.2.81.7" advise="1">
        <values>
          <value t="str">
            <val>10:18:01</val>
          </value>
        </values>
      </ddeItem>
      <ddeItem name="PAGE.2.81.8" advise="1">
        <values>
          <value t="str">
            <val/>
          </value>
        </values>
      </ddeItem>
      <ddeItem name="PAGE.2.81.9" advise="1">
        <values>
          <value>
            <val>8.6630505489999994</val>
          </value>
        </values>
      </ddeItem>
      <ddeItem name="PAGE.2.82.1" advise="1">
        <values>
          <value t="str">
            <val>16/12</val>
          </value>
        </values>
      </ddeItem>
      <ddeItem name="PAGE.2.82.10" advise="1">
        <values>
          <value t="str">
            <val/>
          </value>
        </values>
      </ddeItem>
      <ddeItem name="PAGE.2.82.11" advise="1">
        <values>
          <value t="str">
            <val>TRFTRLC22619_KESN_T0</val>
          </value>
        </values>
      </ddeItem>
      <ddeItem name="PAGE.2.82.2" advise="1">
        <values>
          <value t="str">
            <val>TRFTRLC22619</val>
          </value>
        </values>
      </ddeItem>
      <ddeItem name="PAGE.2.82.3" advise="1">
        <values>
          <value t="str">
            <val/>
          </value>
        </values>
      </ddeItem>
      <ddeItem name="PAGE.2.82.4" advise="1">
        <values>
          <value t="str">
            <val/>
          </value>
        </values>
      </ddeItem>
      <ddeItem name="PAGE.2.82.5" advise="1">
        <values>
          <value t="str">
            <val/>
          </value>
        </values>
      </ddeItem>
      <ddeItem name="PAGE.2.82.6" advise="1">
        <values>
          <value t="str">
            <val/>
          </value>
        </values>
      </ddeItem>
      <ddeItem name="PAGE.2.82.7" advise="1">
        <values>
          <value t="str">
            <val>10:31:44</val>
          </value>
        </values>
      </ddeItem>
      <ddeItem name="PAGE.2.82.8" advise="1">
        <values>
          <value t="str">
            <val/>
          </value>
        </values>
      </ddeItem>
      <ddeItem name="PAGE.2.82.9" advise="1">
        <values>
          <value>
            <val>19.090405713999999</val>
          </value>
        </values>
      </ddeItem>
      <ddeItem name="PAGE.2.83.1" advise="1">
        <values>
          <value t="str">
            <val>16/12</val>
          </value>
        </values>
      </ddeItem>
      <ddeItem name="PAGE.2.83.10" advise="1">
        <values>
          <value t="str">
            <val/>
          </value>
        </values>
      </ddeItem>
      <ddeItem name="PAGE.2.83.11" advise="1">
        <values>
          <value t="str">
            <val>TRFARSV22614_KESN_T0</val>
          </value>
        </values>
      </ddeItem>
      <ddeItem name="PAGE.2.83.2" advise="1">
        <values>
          <value t="str">
            <val>TRFARSV22614</val>
          </value>
        </values>
      </ddeItem>
      <ddeItem name="PAGE.2.83.3" advise="1">
        <values>
          <value t="str">
            <val/>
          </value>
        </values>
      </ddeItem>
      <ddeItem name="PAGE.2.83.4" advise="1">
        <values>
          <value t="str">
            <val/>
          </value>
        </values>
      </ddeItem>
      <ddeItem name="PAGE.2.83.5" advise="1">
        <values>
          <value t="str">
            <val/>
          </value>
        </values>
      </ddeItem>
      <ddeItem name="PAGE.2.83.6" advise="1">
        <values>
          <value t="str">
            <val/>
          </value>
        </values>
      </ddeItem>
      <ddeItem name="PAGE.2.83.7" advise="1">
        <values>
          <value t="str">
            <val>10:32:45</val>
          </value>
        </values>
      </ddeItem>
      <ddeItem name="PAGE.2.83.8" advise="1">
        <values>
          <value t="str">
            <val/>
          </value>
        </values>
      </ddeItem>
      <ddeItem name="PAGE.2.83.9" advise="1">
        <values>
          <value t="str">
            <val/>
          </value>
        </values>
      </ddeItem>
      <ddeItem name="PAGE.2.84.1" advise="1">
        <values>
          <value t="str">
            <val>16/12</val>
          </value>
        </values>
      </ddeItem>
      <ddeItem name="PAGE.2.84.10" advise="1">
        <values>
          <value t="str">
            <val/>
          </value>
        </values>
      </ddeItem>
      <ddeItem name="PAGE.2.84.11" advise="1">
        <values>
          <value t="str">
            <val>TRFQFNS22612_KESN_T0</val>
          </value>
        </values>
      </ddeItem>
      <ddeItem name="PAGE.2.84.2" advise="1">
        <values>
          <value t="str">
            <val>TRFQFNS22612</val>
          </value>
        </values>
      </ddeItem>
      <ddeItem name="PAGE.2.84.3" advise="1">
        <values>
          <value t="str">
            <val/>
          </value>
        </values>
      </ddeItem>
      <ddeItem name="PAGE.2.84.4" advise="1">
        <values>
          <value t="str">
            <val/>
          </value>
        </values>
      </ddeItem>
      <ddeItem name="PAGE.2.84.5" advise="1">
        <values>
          <value t="str">
            <val/>
          </value>
        </values>
      </ddeItem>
      <ddeItem name="PAGE.2.84.6" advise="1">
        <values>
          <value t="str">
            <val/>
          </value>
        </values>
      </ddeItem>
      <ddeItem name="PAGE.2.84.7" advise="1">
        <values>
          <value t="str">
            <val>10:19:35</val>
          </value>
        </values>
      </ddeItem>
      <ddeItem name="PAGE.2.84.8" advise="1">
        <values>
          <value t="str">
            <val/>
          </value>
        </values>
      </ddeItem>
      <ddeItem name="PAGE.2.84.9" advise="1">
        <values>
          <value t="str">
            <val/>
          </value>
        </values>
      </ddeItem>
      <ddeItem name="PAGE.2.85.1" advise="1">
        <values>
          <value t="str">
            <val>16/12</val>
          </value>
        </values>
      </ddeItem>
      <ddeItem name="PAGE.2.85.10" advise="1">
        <values>
          <value t="str">
            <val/>
          </value>
        </values>
      </ddeItem>
      <ddeItem name="PAGE.2.85.11" advise="1">
        <values>
          <value t="str">
            <val>TRFDGRV32612_KESN_T0</val>
          </value>
        </values>
      </ddeItem>
      <ddeItem name="PAGE.2.85.2" advise="1">
        <values>
          <value t="str">
            <val>TRFDGRV32612</val>
          </value>
        </values>
      </ddeItem>
      <ddeItem name="PAGE.2.85.3" advise="1">
        <values>
          <value t="str">
            <val/>
          </value>
        </values>
      </ddeItem>
      <ddeItem name="PAGE.2.85.4" advise="1">
        <values>
          <value t="str">
            <val/>
          </value>
        </values>
      </ddeItem>
      <ddeItem name="PAGE.2.85.5" advise="1">
        <values>
          <value t="str">
            <val/>
          </value>
        </values>
      </ddeItem>
      <ddeItem name="PAGE.2.85.6" advise="1">
        <values>
          <value t="str">
            <val/>
          </value>
        </values>
      </ddeItem>
      <ddeItem name="PAGE.2.85.7" advise="1">
        <values>
          <value t="str">
            <val>10:37:17</val>
          </value>
        </values>
      </ddeItem>
      <ddeItem name="PAGE.2.85.8" advise="1">
        <values>
          <value t="str">
            <val/>
          </value>
        </values>
      </ddeItem>
      <ddeItem name="PAGE.2.85.9" advise="1">
        <values>
          <value t="str">
            <val/>
          </value>
        </values>
      </ddeItem>
      <ddeItem name="PAGE.2.86.1" advise="1">
        <values>
          <value t="str">
            <val>16/12</val>
          </value>
        </values>
      </ddeItem>
      <ddeItem name="PAGE.2.86.10" advise="1">
        <values>
          <value t="str">
            <val/>
          </value>
        </values>
      </ddeItem>
      <ddeItem name="PAGE.2.86.11" advise="1">
        <values>
          <value t="str">
            <val>TRFAKDN42616_KESN_T0</val>
          </value>
        </values>
      </ddeItem>
      <ddeItem name="PAGE.2.86.2" advise="1">
        <values>
          <value t="str">
            <val>TRFAKDN42616</val>
          </value>
        </values>
      </ddeItem>
      <ddeItem name="PAGE.2.86.3" advise="1">
        <values>
          <value t="str">
            <val/>
          </value>
        </values>
      </ddeItem>
      <ddeItem name="PAGE.2.86.4" advise="1">
        <values>
          <value t="str">
            <val/>
          </value>
        </values>
      </ddeItem>
      <ddeItem name="PAGE.2.86.5" advise="1">
        <values>
          <value t="str">
            <val/>
          </value>
        </values>
      </ddeItem>
      <ddeItem name="PAGE.2.86.6" advise="1">
        <values>
          <value t="str">
            <val/>
          </value>
        </values>
      </ddeItem>
      <ddeItem name="PAGE.2.86.7" advise="1">
        <values>
          <value t="str">
            <val>10:39:18</val>
          </value>
        </values>
      </ddeItem>
      <ddeItem name="PAGE.2.86.8" advise="1">
        <values>
          <value t="str">
            <val/>
          </value>
        </values>
      </ddeItem>
      <ddeItem name="PAGE.2.86.9" advise="1">
        <values>
          <value t="str">
            <val/>
          </value>
        </values>
      </ddeItem>
      <ddeItem name="PAGE.2.87.1" advise="1">
        <values>
          <value t="str">
            <val>16/12</val>
          </value>
        </values>
      </ddeItem>
      <ddeItem name="PAGE.2.87.10" advise="1">
        <values>
          <value t="str">
            <val/>
          </value>
        </values>
      </ddeItem>
      <ddeItem name="PAGE.2.87.11" advise="1">
        <values>
          <value t="str">
            <val>TRDZKBV22633_KESN_T0</val>
          </value>
        </values>
      </ddeItem>
      <ddeItem name="PAGE.2.87.2" advise="1">
        <values>
          <value t="str">
            <val>TRDZKBV22633</val>
          </value>
        </values>
      </ddeItem>
      <ddeItem name="PAGE.2.87.3" advise="1">
        <values>
          <value t="str">
            <val/>
          </value>
        </values>
      </ddeItem>
      <ddeItem name="PAGE.2.87.4" advise="1">
        <values>
          <value t="str">
            <val/>
          </value>
        </values>
      </ddeItem>
      <ddeItem name="PAGE.2.87.5" advise="1">
        <values>
          <value t="str">
            <val/>
          </value>
        </values>
      </ddeItem>
      <ddeItem name="PAGE.2.87.6" advise="1">
        <values>
          <value t="str">
            <val/>
          </value>
        </values>
      </ddeItem>
      <ddeItem name="PAGE.2.87.7" advise="1">
        <values>
          <value t="str">
            <val>10:20:45</val>
          </value>
        </values>
      </ddeItem>
      <ddeItem name="PAGE.2.87.8" advise="1">
        <values>
          <value t="str">
            <val/>
          </value>
        </values>
      </ddeItem>
      <ddeItem name="PAGE.2.87.9" advise="1">
        <values>
          <value>
            <val>6.4027407480000003</val>
          </value>
        </values>
      </ddeItem>
      <ddeItem name="PAGE.2.88.1" advise="1">
        <values>
          <value t="str">
            <val>16/12</val>
          </value>
        </values>
      </ddeItem>
      <ddeItem name="PAGE.2.88.10" advise="1">
        <values>
          <value t="str">
            <val/>
          </value>
        </values>
      </ddeItem>
      <ddeItem name="PAGE.2.88.11" advise="1">
        <values>
          <value t="str">
            <val>TRT051033T12_KESN_T0</val>
          </value>
        </values>
      </ddeItem>
      <ddeItem name="PAGE.2.88.2" advise="1">
        <values>
          <value t="str">
            <val>TRT051033T12</val>
          </value>
        </values>
      </ddeItem>
      <ddeItem name="PAGE.2.88.3" advise="1">
        <values>
          <value t="str">
            <val/>
          </value>
        </values>
      </ddeItem>
      <ddeItem name="PAGE.2.88.4" advise="1">
        <values>
          <value t="str">
            <val/>
          </value>
        </values>
      </ddeItem>
      <ddeItem name="PAGE.2.88.5" advise="1">
        <values>
          <value t="str">
            <val/>
          </value>
        </values>
      </ddeItem>
      <ddeItem name="PAGE.2.88.6" advise="1">
        <values>
          <value t="str">
            <val/>
          </value>
        </values>
      </ddeItem>
      <ddeItem name="PAGE.2.88.7" advise="1">
        <values>
          <value t="str">
            <val>13:21:52</val>
          </value>
        </values>
      </ddeItem>
      <ddeItem name="PAGE.2.88.8" advise="1">
        <values>
          <value t="str">
            <val/>
          </value>
        </values>
      </ddeItem>
      <ddeItem name="PAGE.2.88.9" advise="1">
        <values>
          <value>
            <val>4.4626373629999998</val>
          </value>
        </values>
      </ddeItem>
      <ddeItem name="PAGE.2.89.1" advise="1">
        <values>
          <value t="str">
            <val>16/12</val>
          </value>
        </values>
      </ddeItem>
      <ddeItem name="PAGE.2.89.10" advise="1">
        <values>
          <value t="str">
            <val/>
          </value>
        </values>
      </ddeItem>
      <ddeItem name="PAGE.2.89.11" advise="1">
        <values>
          <value t="str">
            <val>TRFBORL12639_KESN_T0</val>
          </value>
        </values>
      </ddeItem>
      <ddeItem name="PAGE.2.89.2" advise="1">
        <values>
          <value t="str">
            <val>TRFBORL12639</val>
          </value>
        </values>
      </ddeItem>
      <ddeItem name="PAGE.2.89.3" advise="1">
        <values>
          <value t="str">
            <val/>
          </value>
        </values>
      </ddeItem>
      <ddeItem name="PAGE.2.89.4" advise="1">
        <values>
          <value t="str">
            <val/>
          </value>
        </values>
      </ddeItem>
      <ddeItem name="PAGE.2.89.5" advise="1">
        <values>
          <value t="str">
            <val/>
          </value>
        </values>
      </ddeItem>
      <ddeItem name="PAGE.2.89.6" advise="1">
        <values>
          <value t="str">
            <val/>
          </value>
        </values>
      </ddeItem>
      <ddeItem name="PAGE.2.89.7" advise="1">
        <values>
          <value t="str">
            <val>10:27:40</val>
          </value>
        </values>
      </ddeItem>
      <ddeItem name="PAGE.2.89.8" advise="1">
        <values>
          <value t="str">
            <val/>
          </value>
        </values>
      </ddeItem>
      <ddeItem name="PAGE.2.89.9" advise="1">
        <values>
          <value>
            <val>19.657333333</val>
          </value>
        </values>
      </ddeItem>
      <ddeItem name="PAGE.2.9.1" advise="1">
        <values>
          <value t="str">
            <val>16/12</val>
          </value>
        </values>
      </ddeItem>
      <ddeItem name="PAGE.2.9.10" advise="1">
        <values>
          <value>
            <val>84.787999999999997</val>
          </value>
        </values>
      </ddeItem>
      <ddeItem name="PAGE.2.9.11" advise="1">
        <values>
          <value t="str">
            <val>TRB170626T13_KESN_T0</val>
          </value>
        </values>
      </ddeItem>
      <ddeItem name="PAGE.2.9.2" advise="1">
        <values>
          <value t="str">
            <val>TRB170626T13</val>
          </value>
        </values>
      </ddeItem>
      <ddeItem name="PAGE.2.9.3" advise="1">
        <values>
          <value>
            <val>84.787999999999997</val>
          </value>
        </values>
      </ddeItem>
      <ddeItem name="PAGE.2.9.4" advise="1">
        <values>
          <value>
            <val>35.78</val>
          </value>
        </values>
      </ddeItem>
      <ddeItem name="PAGE.2.9.5" advise="1">
        <values>
          <value>
            <val>38.979999999999997</val>
          </value>
        </values>
      </ddeItem>
      <ddeItem name="PAGE.2.9.6" advise="1">
        <values>
          <value>
            <val>2268000000</val>
          </value>
        </values>
      </ddeItem>
      <ddeItem name="PAGE.2.9.7" advise="1">
        <values>
          <value t="str">
            <val>13:58:30</val>
          </value>
        </values>
      </ddeItem>
      <ddeItem name="PAGE.2.9.8" advise="1">
        <values>
          <value>
            <val>1922987063.46</val>
          </value>
        </values>
      </ddeItem>
      <ddeItem name="PAGE.2.9.9" advise="1">
        <values>
          <value t="str">
            <val/>
          </value>
        </values>
      </ddeItem>
      <ddeItem name="PAGE.2.90.1" advise="1">
        <values>
          <value t="str">
            <val>17/12</val>
          </value>
        </values>
      </ddeItem>
      <ddeItem name="PAGE.2.90.10" advise="1">
        <values>
          <value>
            <val>84.870999999999995</val>
          </value>
        </values>
      </ddeItem>
      <ddeItem name="PAGE.2.90.11" advise="1">
        <values>
          <value t="str">
            <val>TRB170626T13_KESN_T1</val>
          </value>
        </values>
      </ddeItem>
      <ddeItem name="PAGE.2.90.2" advise="1">
        <values>
          <value t="str">
            <val>TRB170626T13</val>
          </value>
        </values>
      </ddeItem>
      <ddeItem name="PAGE.2.90.3" advise="1">
        <values>
          <value>
            <val>84.870999999999995</val>
          </value>
        </values>
      </ddeItem>
      <ddeItem name="PAGE.2.90.4" advise="1">
        <values>
          <value>
            <val>35.75</val>
          </value>
        </values>
      </ddeItem>
      <ddeItem name="PAGE.2.90.5" advise="1">
        <values>
          <value>
            <val>38.950000000000003</val>
          </value>
        </values>
      </ddeItem>
      <ddeItem name="PAGE.2.90.6" advise="1">
        <values>
          <value>
            <val>174000000</val>
          </value>
        </values>
      </ddeItem>
      <ddeItem name="PAGE.2.90.7" advise="1">
        <values>
          <value t="str">
            <val>14:11:08</val>
          </value>
        </values>
      </ddeItem>
      <ddeItem name="PAGE.2.90.8" advise="1">
        <values>
          <value>
            <val>147675890.28</val>
          </value>
        </values>
      </ddeItem>
      <ddeItem name="PAGE.2.90.9" advise="1">
        <values>
          <value t="str">
            <val/>
          </value>
        </values>
      </ddeItem>
      <ddeItem name="PAGE.2.91.1" advise="1">
        <values>
          <value t="str">
            <val>16/12</val>
          </value>
        </values>
      </ddeItem>
      <ddeItem name="PAGE.2.91.10" advise="1">
        <values>
          <value>
            <val>5930</val>
          </value>
        </values>
      </ddeItem>
      <ddeItem name="PAGE.2.91.11" advise="1">
        <values>
          <value t="str">
            <val>TRD180226T14_KESN_T0</val>
          </value>
        </values>
      </ddeItem>
      <ddeItem name="PAGE.2.91.2" advise="1">
        <values>
          <value t="str">
            <val>TRD180226T14</val>
          </value>
        </values>
      </ddeItem>
      <ddeItem name="PAGE.2.91.3" advise="1">
        <values>
          <value>
            <val>5930</val>
          </value>
        </values>
      </ddeItem>
      <ddeItem name="PAGE.2.91.4" advise="1">
        <values>
          <value t="str">
            <val/>
          </value>
        </values>
      </ddeItem>
      <ddeItem name="PAGE.2.91.5" advise="1">
        <values>
          <value t="str">
            <val/>
          </value>
        </values>
      </ddeItem>
      <ddeItem name="PAGE.2.91.6" advise="1">
        <values>
          <value>
            <val>5970</val>
          </value>
        </values>
      </ddeItem>
      <ddeItem name="PAGE.2.91.7" advise="1">
        <values>
          <value t="str">
            <val>12:48:46</val>
          </value>
        </values>
      </ddeItem>
      <ddeItem name="PAGE.2.91.8" advise="1">
        <values>
          <value>
            <val>35402100</val>
          </value>
        </values>
      </ddeItem>
      <ddeItem name="PAGE.2.91.9" advise="1">
        <values>
          <value t="str">
            <val/>
          </value>
        </values>
      </ddeItem>
      <ddeItem name="PAGE.2.92.1" advise="1">
        <values>
          <value t="str">
            <val>16/12</val>
          </value>
        </values>
      </ddeItem>
      <ddeItem name="PAGE.2.92.10" advise="1">
        <values>
          <value t="str">
            <val/>
          </value>
        </values>
      </ddeItem>
      <ddeItem name="PAGE.2.92.11" advise="1">
        <values>
          <value t="str">
            <val>TRD030726T16_KESN_T0</val>
          </value>
        </values>
      </ddeItem>
      <ddeItem name="PAGE.2.92.2" advise="1">
        <values>
          <value t="str">
            <val>TRD030726T16</val>
          </value>
        </values>
      </ddeItem>
      <ddeItem name="PAGE.2.92.3" advise="1">
        <values>
          <value t="str">
            <val/>
          </value>
        </values>
      </ddeItem>
      <ddeItem name="PAGE.2.92.4" advise="1">
        <values>
          <value t="str">
            <val/>
          </value>
        </values>
      </ddeItem>
      <ddeItem name="PAGE.2.92.5" advise="1">
        <values>
          <value t="str">
            <val/>
          </value>
        </values>
      </ddeItem>
      <ddeItem name="PAGE.2.92.6" advise="1">
        <values>
          <value t="str">
            <val/>
          </value>
        </values>
      </ddeItem>
      <ddeItem name="PAGE.2.92.7" advise="1">
        <values>
          <value t="str">
            <val>13:56:15</val>
          </value>
        </values>
      </ddeItem>
      <ddeItem name="PAGE.2.92.8" advise="1">
        <values>
          <value t="str">
            <val/>
          </value>
        </values>
      </ddeItem>
      <ddeItem name="PAGE.2.92.9" advise="1">
        <values>
          <value t="str">
            <val/>
          </value>
        </values>
      </ddeItem>
      <ddeItem name="PAGE.2.93.1" advise="1">
        <values>
          <value t="str">
            <val>16/12</val>
          </value>
        </values>
      </ddeItem>
      <ddeItem name="PAGE.2.93.10" advise="1">
        <values>
          <value>
            <val>5930</val>
          </value>
        </values>
      </ddeItem>
      <ddeItem name="PAGE.2.93.11" advise="1">
        <values>
          <value t="str">
            <val>TRD260126T15_KESN_T0</val>
          </value>
        </values>
      </ddeItem>
      <ddeItem name="PAGE.2.93.2" advise="1">
        <values>
          <value t="str">
            <val>TRD260126T15</val>
          </value>
        </values>
      </ddeItem>
      <ddeItem name="PAGE.2.93.3" advise="1">
        <values>
          <value>
            <val>5930</val>
          </value>
        </values>
      </ddeItem>
      <ddeItem name="PAGE.2.93.4" advise="1">
        <values>
          <value t="str">
            <val/>
          </value>
        </values>
      </ddeItem>
      <ddeItem name="PAGE.2.93.5" advise="1">
        <values>
          <value t="str">
            <val/>
          </value>
        </values>
      </ddeItem>
      <ddeItem name="PAGE.2.93.6" advise="1">
        <values>
          <value>
            <val>5970</val>
          </value>
        </values>
      </ddeItem>
      <ddeItem name="PAGE.2.93.7" advise="1">
        <values>
          <value t="str">
            <val>12:45:43</val>
          </value>
        </values>
      </ddeItem>
      <ddeItem name="PAGE.2.93.8" advise="1">
        <values>
          <value>
            <val>35402100</val>
          </value>
        </values>
      </ddeItem>
      <ddeItem name="PAGE.2.93.9" advise="1">
        <values>
          <value t="str">
            <val/>
          </value>
        </values>
      </ddeItem>
      <ddeItem name="PAGE.2.94.1" advise="1">
        <values>
          <value t="str">
            <val>16/12</val>
          </value>
        </values>
      </ddeItem>
      <ddeItem name="PAGE.2.94.10" advise="1">
        <values>
          <value t="str">
            <val/>
          </value>
        </values>
      </ddeItem>
      <ddeItem name="PAGE.2.94.11" advise="1">
        <values>
          <value t="str">
            <val>TRFDRDL22611_KESN_T0</val>
          </value>
        </values>
      </ddeItem>
      <ddeItem name="PAGE.2.94.2" advise="1">
        <values>
          <value t="str">
            <val>TRFDRDL22611</val>
          </value>
        </values>
      </ddeItem>
      <ddeItem name="PAGE.2.94.3" advise="1">
        <values>
          <value t="str">
            <val/>
          </value>
        </values>
      </ddeItem>
      <ddeItem name="PAGE.2.94.4" advise="1">
        <values>
          <value t="str">
            <val/>
          </value>
        </values>
      </ddeItem>
      <ddeItem name="PAGE.2.94.5" advise="1">
        <values>
          <value t="str">
            <val/>
          </value>
        </values>
      </ddeItem>
      <ddeItem name="PAGE.2.94.6" advise="1">
        <values>
          <value t="str">
            <val/>
          </value>
        </values>
      </ddeItem>
      <ddeItem name="PAGE.2.94.7" advise="1">
        <values>
          <value t="str">
            <val>10:34:55</val>
          </value>
        </values>
      </ddeItem>
      <ddeItem name="PAGE.2.94.8" advise="1">
        <values>
          <value t="str">
            <val/>
          </value>
        </values>
      </ddeItem>
      <ddeItem name="PAGE.2.94.9" advise="1">
        <values>
          <value>
            <val>3.9890414669999998</val>
          </value>
        </values>
      </ddeItem>
      <ddeItem name="PAGE.2.95.1" advise="1">
        <values>
          <value t="str">
            <val>16/12</val>
          </value>
        </values>
      </ddeItem>
      <ddeItem name="PAGE.2.95.10" advise="1">
        <values>
          <value t="str">
            <val/>
          </value>
        </values>
      </ddeItem>
      <ddeItem name="PAGE.2.95.11" advise="1">
        <values>
          <value t="str">
            <val>TRD150426T31_KESN_T0</val>
          </value>
        </values>
      </ddeItem>
      <ddeItem name="PAGE.2.95.2" advise="1">
        <values>
          <value t="str">
            <val>TRD150426T31</val>
          </value>
        </values>
      </ddeItem>
      <ddeItem name="PAGE.2.95.3" advise="1">
        <values>
          <value t="str">
            <val/>
          </value>
        </values>
      </ddeItem>
      <ddeItem name="PAGE.2.95.4" advise="1">
        <values>
          <value t="str">
            <val/>
          </value>
        </values>
      </ddeItem>
      <ddeItem name="PAGE.2.95.5" advise="1">
        <values>
          <value t="str">
            <val/>
          </value>
        </values>
      </ddeItem>
      <ddeItem name="PAGE.2.95.6" advise="1">
        <values>
          <value t="str">
            <val/>
          </value>
        </values>
      </ddeItem>
      <ddeItem name="PAGE.2.95.7" advise="1">
        <values>
          <value t="str">
            <val>10:38:06</val>
          </value>
        </values>
      </ddeItem>
      <ddeItem name="PAGE.2.95.8" advise="1">
        <values>
          <value t="str">
            <val/>
          </value>
        </values>
      </ddeItem>
      <ddeItem name="PAGE.2.95.9" advise="1">
        <values>
          <value t="str">
            <val/>
          </value>
        </values>
      </ddeItem>
      <ddeItem name="PAGE.2.96.1" advise="1">
        <values>
          <value t="str">
            <val>16/12</val>
          </value>
        </values>
      </ddeItem>
      <ddeItem name="PAGE.2.96.10" advise="1">
        <values>
          <value t="str">
            <val/>
          </value>
        </values>
      </ddeItem>
      <ddeItem name="PAGE.2.96.11" advise="1">
        <values>
          <value t="str">
            <val>TRSMBKF32615_KESN_T0</val>
          </value>
        </values>
      </ddeItem>
      <ddeItem name="PAGE.2.96.2" advise="1">
        <values>
          <value t="str">
            <val>TRSMBKF32615</val>
          </value>
        </values>
      </ddeItem>
      <ddeItem name="PAGE.2.96.3" advise="1">
        <values>
          <value t="str">
            <val/>
          </value>
        </values>
      </ddeItem>
      <ddeItem name="PAGE.2.96.4" advise="1">
        <values>
          <value t="str">
            <val/>
          </value>
        </values>
      </ddeItem>
      <ddeItem name="PAGE.2.96.5" advise="1">
        <values>
          <value t="str">
            <val/>
          </value>
        </values>
      </ddeItem>
      <ddeItem name="PAGE.2.96.6" advise="1">
        <values>
          <value t="str">
            <val/>
          </value>
        </values>
      </ddeItem>
      <ddeItem name="PAGE.2.96.7" advise="1">
        <values>
          <value t="str">
            <val>10:36:04</val>
          </value>
        </values>
      </ddeItem>
      <ddeItem name="PAGE.2.96.8" advise="1">
        <values>
          <value t="str">
            <val/>
          </value>
        </values>
      </ddeItem>
      <ddeItem name="PAGE.2.96.9" advise="1">
        <values>
          <value>
            <val>33.632882608999999</val>
          </value>
        </values>
      </ddeItem>
      <ddeItem name="PAGE.2.97.1" advise="1">
        <values>
          <value t="str">
            <val>16/12</val>
          </value>
        </values>
      </ddeItem>
      <ddeItem name="PAGE.2.97.10" advise="1">
        <values>
          <value t="str">
            <val/>
          </value>
        </values>
      </ddeItem>
      <ddeItem name="PAGE.2.97.11" advise="1">
        <values>
          <value t="str">
            <val>TRD120626T16_KESN_T0</val>
          </value>
        </values>
      </ddeItem>
      <ddeItem name="PAGE.2.97.2" advise="1">
        <values>
          <value t="str">
            <val>TRD120626T16</val>
          </value>
        </values>
      </ddeItem>
      <ddeItem name="PAGE.2.97.3" advise="1">
        <values>
          <value t="str">
            <val/>
          </value>
        </values>
      </ddeItem>
      <ddeItem name="PAGE.2.97.4" advise="1">
        <values>
          <value t="str">
            <val/>
          </value>
        </values>
      </ddeItem>
      <ddeItem name="PAGE.2.97.5" advise="1">
        <values>
          <value t="str">
            <val/>
          </value>
        </values>
      </ddeItem>
      <ddeItem name="PAGE.2.97.6" advise="1">
        <values>
          <value t="str">
            <val/>
          </value>
        </values>
      </ddeItem>
      <ddeItem name="PAGE.2.97.7" advise="1">
        <values>
          <value t="str">
            <val>10:36:10</val>
          </value>
        </values>
      </ddeItem>
      <ddeItem name="PAGE.2.97.8" advise="1">
        <values>
          <value t="str">
            <val/>
          </value>
        </values>
      </ddeItem>
      <ddeItem name="PAGE.2.97.9" advise="1">
        <values>
          <value t="str">
            <val/>
          </value>
        </values>
      </ddeItem>
      <ddeItem name="PAGE.2.98.1" advise="1">
        <values>
          <value t="str">
            <val>16/12</val>
          </value>
        </values>
      </ddeItem>
      <ddeItem name="PAGE.2.98.10" advise="1">
        <values>
          <value t="str">
            <val/>
          </value>
        </values>
      </ddeItem>
      <ddeItem name="PAGE.2.98.11" advise="1">
        <values>
          <value t="str">
            <val>TRD071026T17_KESN_T0</val>
          </value>
        </values>
      </ddeItem>
      <ddeItem name="PAGE.2.98.2" advise="1">
        <values>
          <value t="str">
            <val>TRD071026T17</val>
          </value>
        </values>
      </ddeItem>
      <ddeItem name="PAGE.2.98.3" advise="1">
        <values>
          <value t="str">
            <val/>
          </value>
        </values>
      </ddeItem>
      <ddeItem name="PAGE.2.98.4" advise="1">
        <values>
          <value t="str">
            <val/>
          </value>
        </values>
      </ddeItem>
      <ddeItem name="PAGE.2.98.5" advise="1">
        <values>
          <value t="str">
            <val/>
          </value>
        </values>
      </ddeItem>
      <ddeItem name="PAGE.2.98.6" advise="1">
        <values>
          <value t="str">
            <val/>
          </value>
        </values>
      </ddeItem>
      <ddeItem name="PAGE.2.98.7" advise="1">
        <values>
          <value t="str">
            <val>10:36:54</val>
          </value>
        </values>
      </ddeItem>
      <ddeItem name="PAGE.2.98.8" advise="1">
        <values>
          <value t="str">
            <val/>
          </value>
        </values>
      </ddeItem>
      <ddeItem name="PAGE.2.98.9" advise="1">
        <values>
          <value t="str">
            <val/>
          </value>
        </values>
      </ddeItem>
      <ddeItem name="PAGE.2.99.1" advise="1">
        <values>
          <value t="str">
            <val>16/12</val>
          </value>
        </values>
      </ddeItem>
      <ddeItem name="PAGE.2.99.10" advise="1">
        <values>
          <value t="str">
            <val/>
          </value>
        </values>
      </ddeItem>
      <ddeItem name="PAGE.2.99.11" advise="1">
        <values>
          <value t="str">
            <val>TRSKCTF42617_KESN_T0</val>
          </value>
        </values>
      </ddeItem>
      <ddeItem name="PAGE.2.99.2" advise="1">
        <values>
          <value t="str">
            <val>TRSKCTF42617</val>
          </value>
        </values>
      </ddeItem>
      <ddeItem name="PAGE.2.99.3" advise="1">
        <values>
          <value t="str">
            <val/>
          </value>
        </values>
      </ddeItem>
      <ddeItem name="PAGE.2.99.4" advise="1">
        <values>
          <value t="str">
            <val/>
          </value>
        </values>
      </ddeItem>
      <ddeItem name="PAGE.2.99.5" advise="1">
        <values>
          <value t="str">
            <val/>
          </value>
        </values>
      </ddeItem>
      <ddeItem name="PAGE.2.99.6" advise="1">
        <values>
          <value t="str">
            <val/>
          </value>
        </values>
      </ddeItem>
      <ddeItem name="PAGE.2.99.7" advise="1">
        <values>
          <value t="str">
            <val>11:12:39</val>
          </value>
        </values>
      </ddeItem>
      <ddeItem name="PAGE.2.99.8" advise="1">
        <values>
          <value t="str">
            <val/>
          </value>
        </values>
      </ddeItem>
      <ddeItem name="PAGE.2.99.9" advise="1">
        <values>
          <value>
            <val>33.090391556999997</val>
          </value>
        </values>
      </ddeItem>
      <ddeItem name="StdDocumentName" ole="1" advise="1"/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6E8D-FC40-4A7B-B569-7534FB9CB201}">
  <dimension ref="A1:L8"/>
  <sheetViews>
    <sheetView tabSelected="1" workbookViewId="0"/>
  </sheetViews>
  <sheetFormatPr defaultRowHeight="15" x14ac:dyDescent="0.25"/>
  <cols>
    <col min="1" max="1" width="10.7109375" bestFit="1" customWidth="1"/>
    <col min="2" max="2" width="14.85546875" customWidth="1"/>
    <col min="3" max="3" width="11.5703125" bestFit="1" customWidth="1"/>
    <col min="4" max="6" width="9.7109375" bestFit="1" customWidth="1"/>
    <col min="7" max="7" width="10.5703125" bestFit="1" customWidth="1"/>
    <col min="8" max="8" width="9.7109375" bestFit="1" customWidth="1"/>
    <col min="9" max="9" width="10.5703125" bestFit="1" customWidth="1"/>
    <col min="12" max="12" width="11.5703125" bestFit="1" customWidth="1"/>
  </cols>
  <sheetData>
    <row r="1" spans="1:12" x14ac:dyDescent="0.25">
      <c r="A1" s="1">
        <v>46007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L1" t="s">
        <v>8</v>
      </c>
    </row>
    <row r="2" spans="1:12" x14ac:dyDescent="0.25">
      <c r="A2" t="s">
        <v>9</v>
      </c>
      <c r="B2" s="1">
        <v>46008</v>
      </c>
      <c r="C2">
        <f>37.72*(1-0.15)</f>
        <v>32.061999999999998</v>
      </c>
      <c r="J2" s="1"/>
      <c r="L2" s="1">
        <v>46068</v>
      </c>
    </row>
    <row r="3" spans="1:12" x14ac:dyDescent="0.25">
      <c r="A3" t="s">
        <v>10</v>
      </c>
      <c r="B3" s="1">
        <v>46071</v>
      </c>
      <c r="C3" s="2">
        <v>111993</v>
      </c>
      <c r="D3" s="1">
        <v>46071</v>
      </c>
      <c r="E3">
        <v>18500</v>
      </c>
      <c r="L3" s="1">
        <v>46157</v>
      </c>
    </row>
    <row r="4" spans="1:12" x14ac:dyDescent="0.25">
      <c r="A4" t="s">
        <v>11</v>
      </c>
      <c r="B4" s="1">
        <v>46092</v>
      </c>
      <c r="C4" s="2">
        <v>92769</v>
      </c>
      <c r="L4" s="1">
        <v>46249</v>
      </c>
    </row>
    <row r="5" spans="1:12" x14ac:dyDescent="0.25">
      <c r="A5" t="s">
        <v>11</v>
      </c>
      <c r="B5" s="1">
        <v>46190</v>
      </c>
      <c r="C5" s="2">
        <v>84788</v>
      </c>
      <c r="L5" s="1">
        <v>46310</v>
      </c>
    </row>
    <row r="6" spans="1:12" x14ac:dyDescent="0.25">
      <c r="A6" t="s">
        <v>10</v>
      </c>
      <c r="B6" s="1">
        <v>46246</v>
      </c>
      <c r="C6" s="2">
        <v>112169</v>
      </c>
      <c r="D6" s="1">
        <v>46065</v>
      </c>
      <c r="E6">
        <v>18000</v>
      </c>
      <c r="F6" s="1">
        <v>46246</v>
      </c>
      <c r="G6" s="3">
        <v>18000</v>
      </c>
      <c r="I6" s="3"/>
      <c r="L6" s="1">
        <v>46371</v>
      </c>
    </row>
    <row r="7" spans="1:12" x14ac:dyDescent="0.25">
      <c r="A7" t="s">
        <v>10</v>
      </c>
      <c r="B7" s="1">
        <v>46428</v>
      </c>
      <c r="C7" s="2">
        <v>108388</v>
      </c>
      <c r="D7" s="1">
        <v>46063</v>
      </c>
      <c r="E7">
        <v>16300</v>
      </c>
      <c r="F7" s="1">
        <v>46244</v>
      </c>
      <c r="G7" s="3">
        <v>16300</v>
      </c>
      <c r="H7" s="1">
        <v>46428</v>
      </c>
      <c r="I7" s="3">
        <v>16300</v>
      </c>
      <c r="L7" s="1">
        <v>46428</v>
      </c>
    </row>
    <row r="8" spans="1:12" x14ac:dyDescent="0.25">
      <c r="A8" t="s">
        <v>10</v>
      </c>
      <c r="B8" s="1">
        <v>46512</v>
      </c>
      <c r="C8" s="2">
        <v>110148</v>
      </c>
      <c r="D8" s="1">
        <v>46148</v>
      </c>
      <c r="E8">
        <v>20500</v>
      </c>
      <c r="F8" s="1">
        <v>46330</v>
      </c>
      <c r="G8" s="4">
        <v>20500</v>
      </c>
      <c r="H8" s="1">
        <v>46512</v>
      </c>
      <c r="I8" s="4">
        <v>20500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3AD5-42B6-4A8C-B2BD-A6724B86B3B8}">
  <sheetPr filterMode="1"/>
  <dimension ref="A1:O142"/>
  <sheetViews>
    <sheetView workbookViewId="0">
      <selection activeCell="J42" activeCellId="1" sqref="B42 J42"/>
    </sheetView>
  </sheetViews>
  <sheetFormatPr defaultRowHeight="15" x14ac:dyDescent="0.25"/>
  <cols>
    <col min="1" max="1" width="5.85546875" bestFit="1" customWidth="1"/>
    <col min="2" max="2" width="31.28515625" customWidth="1"/>
    <col min="3" max="3" width="30.28515625" customWidth="1"/>
    <col min="4" max="4" width="10.42578125" customWidth="1"/>
    <col min="5" max="5" width="8.85546875" customWidth="1"/>
    <col min="6" max="6" width="11.28515625" customWidth="1"/>
    <col min="7" max="7" width="11" bestFit="1" customWidth="1"/>
    <col min="8" max="9" width="12" bestFit="1" customWidth="1"/>
    <col min="10" max="10" width="8" bestFit="1" customWidth="1"/>
    <col min="11" max="11" width="8.140625" bestFit="1" customWidth="1"/>
    <col min="12" max="12" width="9.7109375" bestFit="1" customWidth="1"/>
    <col min="15" max="15" width="10.7109375" bestFit="1" customWidth="1"/>
  </cols>
  <sheetData>
    <row r="1" spans="1:15" x14ac:dyDescent="0.25">
      <c r="A1" t="s">
        <v>13</v>
      </c>
      <c r="B1" t="s">
        <v>12</v>
      </c>
      <c r="C1" t="s">
        <v>14</v>
      </c>
      <c r="D1" t="s">
        <v>15</v>
      </c>
      <c r="I1" t="s">
        <v>17</v>
      </c>
      <c r="J1" t="s">
        <v>16</v>
      </c>
      <c r="L1" t="s">
        <v>18</v>
      </c>
      <c r="M1" t="s">
        <v>19</v>
      </c>
      <c r="N1" t="s">
        <v>20</v>
      </c>
      <c r="O1" t="s">
        <v>21</v>
      </c>
    </row>
    <row r="2" spans="1:15" hidden="1" x14ac:dyDescent="0.25">
      <c r="A2" t="str">
        <f>[1]!PAGE.2.1.1</f>
        <v>16/12</v>
      </c>
      <c r="B2" t="str">
        <f>[1]!PAGE.2.1.2</f>
        <v>TRD080927T34</v>
      </c>
      <c r="C2" t="str">
        <f>[1]!PAGE.2.1.11</f>
        <v>TRD080927T34_KESN_T0</v>
      </c>
      <c r="D2">
        <f>[1]!PAGE.2.1.3</f>
        <v>101.175</v>
      </c>
      <c r="E2" t="str">
        <f>[1]!PAGE.2.1.4</f>
        <v/>
      </c>
      <c r="F2" t="str">
        <f>[1]!PAGE.2.1.5</f>
        <v/>
      </c>
      <c r="G2">
        <f>[1]!PAGE.2.1.6</f>
        <v>100000</v>
      </c>
      <c r="H2">
        <f>[1]!PAGE.2.1.8</f>
        <v>112633.79</v>
      </c>
      <c r="I2">
        <f>[1]!PAGE.2.1.9</f>
        <v>11.458791208999999</v>
      </c>
      <c r="J2">
        <f>[1]!PAGE.2.1.10</f>
        <v>112.634</v>
      </c>
      <c r="K2" t="str">
        <f>[1]!PAGE.2.1.7</f>
        <v>13:07:47</v>
      </c>
    </row>
    <row r="3" spans="1:15" x14ac:dyDescent="0.25">
      <c r="A3" t="str">
        <f>[1]!PAGE.2.77.1</f>
        <v>16/12</v>
      </c>
      <c r="B3" t="str">
        <f>[1]!PAGE.2.77.2</f>
        <v>TRT140126T11</v>
      </c>
      <c r="C3" t="str">
        <f>[1]!PAGE.2.77.11</f>
        <v>TRT140126T11_KESN_T0</v>
      </c>
      <c r="D3" t="str">
        <f>[1]!PAGE.2.77.3</f>
        <v/>
      </c>
      <c r="E3" t="str">
        <f>[1]!PAGE.2.77.4</f>
        <v/>
      </c>
      <c r="F3" t="str">
        <f>[1]!PAGE.2.77.5</f>
        <v/>
      </c>
      <c r="G3" t="str">
        <f>[1]!PAGE.2.77.6</f>
        <v/>
      </c>
      <c r="H3" t="str">
        <f>[1]!PAGE.2.77.8</f>
        <v/>
      </c>
      <c r="I3">
        <f>[1]!PAGE.2.77.9</f>
        <v>1.13489011</v>
      </c>
      <c r="J3" t="str">
        <f>[1]!PAGE.2.77.10</f>
        <v/>
      </c>
      <c r="K3" t="str">
        <f>[1]!PAGE.2.77.7</f>
        <v>10:49:04</v>
      </c>
      <c r="L3" s="1" t="str">
        <f>CONCATENATE("20",MID(B3,8,2))</f>
        <v>2026</v>
      </c>
      <c r="M3" t="str">
        <f>MID(B3,6,2)</f>
        <v>01</v>
      </c>
      <c r="N3" t="str">
        <f>MID(B3,4,2)</f>
        <v>14</v>
      </c>
      <c r="O3" s="1">
        <f>DATE(L3,M3,N3)</f>
        <v>46036</v>
      </c>
    </row>
    <row r="4" spans="1:15" x14ac:dyDescent="0.25">
      <c r="A4" t="str">
        <f>[1]!PAGE.2.12.1</f>
        <v>16/12</v>
      </c>
      <c r="B4" t="str">
        <f>[1]!PAGE.2.12.2</f>
        <v>TRT110226T13</v>
      </c>
      <c r="C4" t="str">
        <f>[1]!PAGE.2.12.11</f>
        <v>TRT110226T13_KESN_T0</v>
      </c>
      <c r="D4">
        <f>[1]!PAGE.2.12.3</f>
        <v>96.375</v>
      </c>
      <c r="E4">
        <f>[1]!PAGE.2.12.4</f>
        <v>33.840000000000003</v>
      </c>
      <c r="F4">
        <f>[1]!PAGE.2.12.5</f>
        <v>39.06</v>
      </c>
      <c r="G4">
        <f>[1]!PAGE.2.12.6</f>
        <v>48000000</v>
      </c>
      <c r="H4">
        <f>[1]!PAGE.2.12.8</f>
        <v>48007252.75</v>
      </c>
      <c r="I4">
        <f>[1]!PAGE.2.12.9</f>
        <v>3.6401098900000002</v>
      </c>
      <c r="J4">
        <f>[1]!PAGE.2.12.10</f>
        <v>100.015</v>
      </c>
      <c r="K4" t="str">
        <f>[1]!PAGE.2.12.7</f>
        <v>13:07:03</v>
      </c>
      <c r="L4" s="1" t="str">
        <f>CONCATENATE("20",MID(B4,8,2))</f>
        <v>2026</v>
      </c>
      <c r="M4" t="str">
        <f>MID(B4,6,2)</f>
        <v>02</v>
      </c>
      <c r="N4" t="str">
        <f>MID(B4,4,2)</f>
        <v>11</v>
      </c>
      <c r="O4" s="1">
        <f>DATE(L4,M4,N4)</f>
        <v>46064</v>
      </c>
    </row>
    <row r="5" spans="1:15" x14ac:dyDescent="0.25">
      <c r="A5" t="str">
        <f>[1]!PAGE.2.11.1</f>
        <v>16/12</v>
      </c>
      <c r="B5" t="str">
        <f>[1]!PAGE.2.11.2</f>
        <v>TRT180226T16</v>
      </c>
      <c r="C5" t="str">
        <f>[1]!PAGE.2.11.11</f>
        <v>TRT180226T16_KESN_T0</v>
      </c>
      <c r="D5">
        <f>[1]!PAGE.2.11.3</f>
        <v>99.998000000000005</v>
      </c>
      <c r="E5">
        <f>[1]!PAGE.2.11.4</f>
        <v>33.14</v>
      </c>
      <c r="F5">
        <f>[1]!PAGE.2.11.5</f>
        <v>38.01</v>
      </c>
      <c r="G5">
        <f>[1]!PAGE.2.11.6</f>
        <v>131000000</v>
      </c>
      <c r="H5">
        <f>[1]!PAGE.2.11.8</f>
        <v>146709802.18000001</v>
      </c>
      <c r="I5">
        <f>[1]!PAGE.2.11.9</f>
        <v>11.994505495</v>
      </c>
      <c r="J5">
        <f>[1]!PAGE.2.11.10</f>
        <v>111.99299999999999</v>
      </c>
      <c r="K5" t="str">
        <f>[1]!PAGE.2.11.7</f>
        <v>13:48:42</v>
      </c>
      <c r="L5" s="1" t="str">
        <f>CONCATENATE("20",MID(B5,8,2))</f>
        <v>2026</v>
      </c>
      <c r="M5" t="str">
        <f>MID(B5,6,2)</f>
        <v>02</v>
      </c>
      <c r="N5" t="str">
        <f>MID(B5,4,2)</f>
        <v>18</v>
      </c>
      <c r="O5" s="1">
        <f>DATE(L5,M5,N5)</f>
        <v>46071</v>
      </c>
    </row>
    <row r="6" spans="1:15" hidden="1" x14ac:dyDescent="0.25">
      <c r="A6" t="str">
        <f>[1]!PAGE.2.5.1</f>
        <v>16/12</v>
      </c>
      <c r="B6" t="str">
        <f>[1]!PAGE.2.5.2</f>
        <v>TRSSISE32613</v>
      </c>
      <c r="C6" t="str">
        <f>[1]!PAGE.2.5.11</f>
        <v>TRSSISE32613_KESN_T0</v>
      </c>
      <c r="D6" t="str">
        <f>[1]!PAGE.2.5.3</f>
        <v/>
      </c>
      <c r="E6" t="str">
        <f>[1]!PAGE.2.5.4</f>
        <v/>
      </c>
      <c r="F6" t="str">
        <f>[1]!PAGE.2.5.5</f>
        <v/>
      </c>
      <c r="G6" t="str">
        <f>[1]!PAGE.2.5.6</f>
        <v/>
      </c>
      <c r="H6" t="str">
        <f>[1]!PAGE.2.5.8</f>
        <v/>
      </c>
      <c r="I6" t="str">
        <f>[1]!PAGE.2.5.9</f>
        <v/>
      </c>
      <c r="J6" t="str">
        <f>[1]!PAGE.2.5.10</f>
        <v/>
      </c>
      <c r="K6" t="str">
        <f>[1]!PAGE.2.5.7</f>
        <v>09:34:54</v>
      </c>
    </row>
    <row r="7" spans="1:15" x14ac:dyDescent="0.25">
      <c r="A7" t="str">
        <f>[1]!PAGE.2.23.1</f>
        <v>16/12</v>
      </c>
      <c r="B7" t="str">
        <f>[1]!PAGE.2.23.2</f>
        <v>TRB110326T12</v>
      </c>
      <c r="C7" t="str">
        <f>[1]!PAGE.2.23.11</f>
        <v>TRB110326T12_KESN_T0</v>
      </c>
      <c r="D7">
        <f>[1]!PAGE.2.23.3</f>
        <v>92.769000000000005</v>
      </c>
      <c r="E7">
        <f>[1]!PAGE.2.23.4</f>
        <v>33.47</v>
      </c>
      <c r="F7">
        <f>[1]!PAGE.2.23.5</f>
        <v>38.03</v>
      </c>
      <c r="G7">
        <f>[1]!PAGE.2.23.6</f>
        <v>29000000</v>
      </c>
      <c r="H7">
        <f>[1]!PAGE.2.23.8</f>
        <v>26903131.699999999</v>
      </c>
      <c r="I7" t="str">
        <f>[1]!PAGE.2.23.9</f>
        <v/>
      </c>
      <c r="J7">
        <f>[1]!PAGE.2.23.10</f>
        <v>92.769000000000005</v>
      </c>
      <c r="K7" t="str">
        <f>[1]!PAGE.2.23.7</f>
        <v>13:49:36</v>
      </c>
      <c r="L7" s="1" t="str">
        <f>CONCATENATE("20",MID(B7,8,2))</f>
        <v>2026</v>
      </c>
      <c r="M7" t="str">
        <f>MID(B7,6,2)</f>
        <v>03</v>
      </c>
      <c r="N7" t="str">
        <f>MID(B7,4,2)</f>
        <v>11</v>
      </c>
      <c r="O7" s="1">
        <f>DATE(L7,M7,N7)</f>
        <v>46092</v>
      </c>
    </row>
    <row r="8" spans="1:15" x14ac:dyDescent="0.25">
      <c r="A8" t="str">
        <f>[1]!PAGE.2.7.1</f>
        <v>16/12</v>
      </c>
      <c r="B8" t="str">
        <f>[1]!PAGE.2.7.2</f>
        <v>TRT080426T16</v>
      </c>
      <c r="C8" t="str">
        <f>[1]!PAGE.2.7.11</f>
        <v>TRT080426T16_KESN_T0</v>
      </c>
      <c r="D8">
        <f>[1]!PAGE.2.7.3</f>
        <v>100.72499999999999</v>
      </c>
      <c r="E8" t="str">
        <f>[1]!PAGE.2.7.4</f>
        <v/>
      </c>
      <c r="F8" t="str">
        <f>[1]!PAGE.2.7.5</f>
        <v/>
      </c>
      <c r="G8">
        <f>[1]!PAGE.2.7.6</f>
        <v>25000000</v>
      </c>
      <c r="H8">
        <f>[1]!PAGE.2.7.8</f>
        <v>27115366.690000001</v>
      </c>
      <c r="I8">
        <f>[1]!PAGE.2.7.9</f>
        <v>7.7364667389999999</v>
      </c>
      <c r="J8">
        <f>[1]!PAGE.2.7.10</f>
        <v>108.461</v>
      </c>
      <c r="K8" t="str">
        <f>[1]!PAGE.2.7.7</f>
        <v>13:41:35</v>
      </c>
      <c r="L8" s="1" t="str">
        <f>CONCATENATE("20",MID(B8,8,2))</f>
        <v>2026</v>
      </c>
      <c r="M8" t="str">
        <f>MID(B8,6,2)</f>
        <v>04</v>
      </c>
      <c r="N8" t="str">
        <f>MID(B8,4,2)</f>
        <v>08</v>
      </c>
      <c r="O8" s="1">
        <f>DATE(L8,M8,N8)</f>
        <v>46120</v>
      </c>
    </row>
    <row r="9" spans="1:15" hidden="1" x14ac:dyDescent="0.25">
      <c r="A9" t="str">
        <f>[1]!PAGE.2.8.1</f>
        <v>17/12</v>
      </c>
      <c r="B9" t="str">
        <f>[1]!PAGE.2.8.2</f>
        <v>TRD080927T34</v>
      </c>
      <c r="C9" t="str">
        <f>[1]!PAGE.2.8.11</f>
        <v>TRD080927T34_KESN_T1</v>
      </c>
      <c r="D9" t="str">
        <f>[1]!PAGE.2.8.3</f>
        <v/>
      </c>
      <c r="E9" t="str">
        <f>[1]!PAGE.2.8.4</f>
        <v/>
      </c>
      <c r="F9" t="str">
        <f>[1]!PAGE.2.8.5</f>
        <v/>
      </c>
      <c r="G9" t="str">
        <f>[1]!PAGE.2.8.6</f>
        <v/>
      </c>
      <c r="H9" t="str">
        <f>[1]!PAGE.2.8.8</f>
        <v/>
      </c>
      <c r="I9">
        <f>[1]!PAGE.2.8.9</f>
        <v>11.576923077</v>
      </c>
      <c r="J9" t="str">
        <f>[1]!PAGE.2.8.10</f>
        <v/>
      </c>
      <c r="K9" t="str">
        <f>[1]!PAGE.2.8.7</f>
        <v>13:48:39</v>
      </c>
    </row>
    <row r="10" spans="1:15" x14ac:dyDescent="0.25">
      <c r="A10" t="str">
        <f>[1]!PAGE.2.56.1</f>
        <v>16/12</v>
      </c>
      <c r="B10" t="str">
        <f>[1]!PAGE.2.56.2</f>
        <v>TRT120626T18</v>
      </c>
      <c r="C10" t="str">
        <f>[1]!PAGE.2.56.11</f>
        <v>TRT120626T18_KESN_T0</v>
      </c>
      <c r="D10">
        <f>[1]!PAGE.2.56.3</f>
        <v>6025</v>
      </c>
      <c r="E10" t="str">
        <f>[1]!PAGE.2.56.4</f>
        <v/>
      </c>
      <c r="F10" t="str">
        <f>[1]!PAGE.2.56.5</f>
        <v/>
      </c>
      <c r="G10">
        <f>[1]!PAGE.2.56.6</f>
        <v>2985</v>
      </c>
      <c r="H10">
        <f>[1]!PAGE.2.56.8</f>
        <v>17984625</v>
      </c>
      <c r="I10" t="str">
        <f>[1]!PAGE.2.56.9</f>
        <v/>
      </c>
      <c r="J10">
        <f>[1]!PAGE.2.56.10</f>
        <v>6025</v>
      </c>
      <c r="K10" t="str">
        <f>[1]!PAGE.2.56.7</f>
        <v>13:52:04</v>
      </c>
      <c r="L10" s="1" t="str">
        <f>CONCATENATE("20",MID(B10,8,2))</f>
        <v>2026</v>
      </c>
      <c r="M10" t="str">
        <f>MID(B10,6,2)</f>
        <v>06</v>
      </c>
      <c r="N10" t="str">
        <f>MID(B10,4,2)</f>
        <v>12</v>
      </c>
      <c r="O10" s="1">
        <f>DATE(L10,M10,N10)</f>
        <v>46185</v>
      </c>
    </row>
    <row r="11" spans="1:15" hidden="1" x14ac:dyDescent="0.25">
      <c r="A11" t="str">
        <f>[1]!PAGE.2.10.1</f>
        <v>17/12</v>
      </c>
      <c r="B11" t="str">
        <f>[1]!PAGE.2.10.2</f>
        <v>TRD061027T33</v>
      </c>
      <c r="C11" t="str">
        <f>[1]!PAGE.2.10.11</f>
        <v>TRD061027T33_KESN_T1</v>
      </c>
      <c r="D11" t="str">
        <f>[1]!PAGE.2.10.3</f>
        <v/>
      </c>
      <c r="E11" t="str">
        <f>[1]!PAGE.2.10.4</f>
        <v/>
      </c>
      <c r="F11" t="str">
        <f>[1]!PAGE.2.10.5</f>
        <v/>
      </c>
      <c r="G11" t="str">
        <f>[1]!PAGE.2.10.6</f>
        <v/>
      </c>
      <c r="H11" t="str">
        <f>[1]!PAGE.2.10.8</f>
        <v/>
      </c>
      <c r="I11">
        <f>[1]!PAGE.2.10.9</f>
        <v>7.692307692</v>
      </c>
      <c r="J11" t="str">
        <f>[1]!PAGE.2.10.10</f>
        <v/>
      </c>
      <c r="K11" t="str">
        <f>[1]!PAGE.2.10.7</f>
        <v>11:49:59</v>
      </c>
    </row>
    <row r="12" spans="1:15" x14ac:dyDescent="0.25">
      <c r="A12" t="str">
        <f>[1]!PAGE.2.9.1</f>
        <v>16/12</v>
      </c>
      <c r="B12" t="str">
        <f>[1]!PAGE.2.9.2</f>
        <v>TRB170626T13</v>
      </c>
      <c r="C12" t="str">
        <f>[1]!PAGE.2.9.11</f>
        <v>TRB170626T13_KESN_T0</v>
      </c>
      <c r="D12">
        <f>[1]!PAGE.2.9.3</f>
        <v>84.787999999999997</v>
      </c>
      <c r="E12">
        <f>[1]!PAGE.2.9.4</f>
        <v>35.78</v>
      </c>
      <c r="F12">
        <f>[1]!PAGE.2.9.5</f>
        <v>38.979999999999997</v>
      </c>
      <c r="G12">
        <f>[1]!PAGE.2.9.6</f>
        <v>2268000000</v>
      </c>
      <c r="H12">
        <f>[1]!PAGE.2.9.8</f>
        <v>1922987063.46</v>
      </c>
      <c r="I12" t="str">
        <f>[1]!PAGE.2.9.9</f>
        <v/>
      </c>
      <c r="J12">
        <f>[1]!PAGE.2.9.10</f>
        <v>84.787999999999997</v>
      </c>
      <c r="K12" t="str">
        <f>[1]!PAGE.2.9.7</f>
        <v>13:58:30</v>
      </c>
      <c r="L12" s="1" t="str">
        <f>CONCATENATE("20",MID(B12,8,2))</f>
        <v>2026</v>
      </c>
      <c r="M12" t="str">
        <f>MID(B12,6,2)</f>
        <v>06</v>
      </c>
      <c r="N12" t="str">
        <f>MID(B12,4,2)</f>
        <v>17</v>
      </c>
      <c r="O12" s="1">
        <f>DATE(L12,M12,N12)</f>
        <v>46190</v>
      </c>
    </row>
    <row r="13" spans="1:15" x14ac:dyDescent="0.25">
      <c r="A13" t="str">
        <f>[1]!PAGE.2.62.1</f>
        <v>16/12</v>
      </c>
      <c r="B13" t="str">
        <f>[1]!PAGE.2.62.2</f>
        <v>TRT030726T18</v>
      </c>
      <c r="C13" t="str">
        <f>[1]!PAGE.2.62.11</f>
        <v>TRT030726T18_KESN_T0</v>
      </c>
      <c r="D13">
        <f>[1]!PAGE.2.62.3</f>
        <v>6060</v>
      </c>
      <c r="E13" t="str">
        <f>[1]!PAGE.2.62.4</f>
        <v/>
      </c>
      <c r="F13" t="str">
        <f>[1]!PAGE.2.62.5</f>
        <v/>
      </c>
      <c r="G13">
        <f>[1]!PAGE.2.62.6</f>
        <v>5970</v>
      </c>
      <c r="H13">
        <f>[1]!PAGE.2.62.8</f>
        <v>36178200</v>
      </c>
      <c r="I13" t="str">
        <f>[1]!PAGE.2.62.9</f>
        <v/>
      </c>
      <c r="J13">
        <f>[1]!PAGE.2.62.10</f>
        <v>6060</v>
      </c>
      <c r="K13" t="str">
        <f>[1]!PAGE.2.62.7</f>
        <v>13:51:54</v>
      </c>
      <c r="L13" s="1" t="str">
        <f>CONCATENATE("20",MID(B13,8,2))</f>
        <v>2026</v>
      </c>
      <c r="M13" t="str">
        <f>MID(B13,6,2)</f>
        <v>07</v>
      </c>
      <c r="N13" t="str">
        <f>MID(B13,4,2)</f>
        <v>03</v>
      </c>
      <c r="O13" s="1">
        <f>DATE(L13,M13,N13)</f>
        <v>46206</v>
      </c>
    </row>
    <row r="14" spans="1:15" hidden="1" x14ac:dyDescent="0.25">
      <c r="A14" t="str">
        <f>[1]!PAGE.2.13.1</f>
        <v>16/12</v>
      </c>
      <c r="B14" t="str">
        <f>[1]!PAGE.2.13.2</f>
        <v>TRDKTSK22625</v>
      </c>
      <c r="C14" t="str">
        <f>[1]!PAGE.2.13.11</f>
        <v>TRDKTSK22625_KESN_T0</v>
      </c>
      <c r="D14" t="str">
        <f>[1]!PAGE.2.13.3</f>
        <v/>
      </c>
      <c r="E14" t="str">
        <f>[1]!PAGE.2.13.4</f>
        <v/>
      </c>
      <c r="F14" t="str">
        <f>[1]!PAGE.2.13.5</f>
        <v/>
      </c>
      <c r="G14" t="str">
        <f>[1]!PAGE.2.13.6</f>
        <v/>
      </c>
      <c r="H14" t="str">
        <f>[1]!PAGE.2.13.8</f>
        <v/>
      </c>
      <c r="I14">
        <f>[1]!PAGE.2.13.9</f>
        <v>13.002742362999999</v>
      </c>
      <c r="J14" t="str">
        <f>[1]!PAGE.2.13.10</f>
        <v/>
      </c>
      <c r="K14" t="str">
        <f>[1]!PAGE.2.13.7</f>
        <v>09:40:33</v>
      </c>
    </row>
    <row r="15" spans="1:15" hidden="1" x14ac:dyDescent="0.25">
      <c r="A15" t="str">
        <f>[1]!PAGE.2.14.1</f>
        <v>16/12</v>
      </c>
      <c r="B15" t="str">
        <f>[1]!PAGE.2.14.2</f>
        <v>TRDKTSK12618</v>
      </c>
      <c r="C15" t="str">
        <f>[1]!PAGE.2.14.11</f>
        <v>TRDKTSK12618_KESN_T0</v>
      </c>
      <c r="D15" t="str">
        <f>[1]!PAGE.2.14.3</f>
        <v/>
      </c>
      <c r="E15" t="str">
        <f>[1]!PAGE.2.14.4</f>
        <v/>
      </c>
      <c r="F15" t="str">
        <f>[1]!PAGE.2.14.5</f>
        <v/>
      </c>
      <c r="G15" t="str">
        <f>[1]!PAGE.2.14.6</f>
        <v/>
      </c>
      <c r="H15" t="str">
        <f>[1]!PAGE.2.14.8</f>
        <v/>
      </c>
      <c r="I15">
        <f>[1]!PAGE.2.14.9</f>
        <v>24.567125122</v>
      </c>
      <c r="J15" t="str">
        <f>[1]!PAGE.2.14.10</f>
        <v/>
      </c>
      <c r="K15" t="str">
        <f>[1]!PAGE.2.14.7</f>
        <v>09:40:33</v>
      </c>
    </row>
    <row r="16" spans="1:15" hidden="1" x14ac:dyDescent="0.25">
      <c r="A16" t="str">
        <f>[1]!PAGE.2.15.1</f>
        <v>16/12</v>
      </c>
      <c r="B16" t="str">
        <f>[1]!PAGE.2.15.2</f>
        <v>TRDEMVK12628</v>
      </c>
      <c r="C16" t="str">
        <f>[1]!PAGE.2.15.11</f>
        <v>TRDEMVK12628_KESN_T0</v>
      </c>
      <c r="D16" t="str">
        <f>[1]!PAGE.2.15.3</f>
        <v/>
      </c>
      <c r="E16" t="str">
        <f>[1]!PAGE.2.15.4</f>
        <v/>
      </c>
      <c r="F16" t="str">
        <f>[1]!PAGE.2.15.5</f>
        <v/>
      </c>
      <c r="G16" t="str">
        <f>[1]!PAGE.2.15.6</f>
        <v/>
      </c>
      <c r="H16" t="str">
        <f>[1]!PAGE.2.15.8</f>
        <v/>
      </c>
      <c r="I16">
        <f>[1]!PAGE.2.15.9</f>
        <v>7.5260244680000001</v>
      </c>
      <c r="J16" t="str">
        <f>[1]!PAGE.2.15.10</f>
        <v/>
      </c>
      <c r="K16" t="str">
        <f>[1]!PAGE.2.15.7</f>
        <v>09:40:33</v>
      </c>
    </row>
    <row r="17" spans="1:15" hidden="1" x14ac:dyDescent="0.25">
      <c r="A17" t="str">
        <f>[1]!PAGE.2.16.1</f>
        <v>16/12</v>
      </c>
      <c r="B17" t="str">
        <f>[1]!PAGE.2.16.2</f>
        <v>TRDEMVK12610</v>
      </c>
      <c r="C17" t="str">
        <f>[1]!PAGE.2.16.11</f>
        <v>TRDEMVK12610_KESN_T0</v>
      </c>
      <c r="D17" t="str">
        <f>[1]!PAGE.2.16.3</f>
        <v/>
      </c>
      <c r="E17" t="str">
        <f>[1]!PAGE.2.16.4</f>
        <v/>
      </c>
      <c r="F17" t="str">
        <f>[1]!PAGE.2.16.5</f>
        <v/>
      </c>
      <c r="G17" t="str">
        <f>[1]!PAGE.2.16.6</f>
        <v/>
      </c>
      <c r="H17" t="str">
        <f>[1]!PAGE.2.16.8</f>
        <v/>
      </c>
      <c r="I17">
        <f>[1]!PAGE.2.16.9</f>
        <v>7.0684914890000003</v>
      </c>
      <c r="J17" t="str">
        <f>[1]!PAGE.2.16.10</f>
        <v/>
      </c>
      <c r="K17" t="str">
        <f>[1]!PAGE.2.16.7</f>
        <v>09:40:33</v>
      </c>
    </row>
    <row r="18" spans="1:15" hidden="1" x14ac:dyDescent="0.25">
      <c r="A18" t="str">
        <f>[1]!PAGE.2.17.1</f>
        <v>16/12</v>
      </c>
      <c r="B18" t="str">
        <f>[1]!PAGE.2.17.2</f>
        <v>TRDEMVK12651</v>
      </c>
      <c r="C18" t="str">
        <f>[1]!PAGE.2.17.11</f>
        <v>TRDEMVK12651_KESN_T0</v>
      </c>
      <c r="D18" t="str">
        <f>[1]!PAGE.2.17.3</f>
        <v/>
      </c>
      <c r="E18" t="str">
        <f>[1]!PAGE.2.17.4</f>
        <v/>
      </c>
      <c r="F18" t="str">
        <f>[1]!PAGE.2.17.5</f>
        <v/>
      </c>
      <c r="G18" t="str">
        <f>[1]!PAGE.2.17.6</f>
        <v/>
      </c>
      <c r="H18" t="str">
        <f>[1]!PAGE.2.17.8</f>
        <v/>
      </c>
      <c r="I18">
        <f>[1]!PAGE.2.17.9</f>
        <v>6.6575314289999996</v>
      </c>
      <c r="J18" t="str">
        <f>[1]!PAGE.2.17.10</f>
        <v/>
      </c>
      <c r="K18" t="str">
        <f>[1]!PAGE.2.17.7</f>
        <v>09:40:33</v>
      </c>
    </row>
    <row r="19" spans="1:15" hidden="1" x14ac:dyDescent="0.25">
      <c r="A19" t="str">
        <f>[1]!PAGE.2.18.1</f>
        <v>16/12</v>
      </c>
      <c r="B19" t="str">
        <f>[1]!PAGE.2.18.2</f>
        <v>TRDEVKS22624</v>
      </c>
      <c r="C19" t="str">
        <f>[1]!PAGE.2.18.11</f>
        <v>TRDEVKS22624_KESN_T0</v>
      </c>
      <c r="D19" t="str">
        <f>[1]!PAGE.2.18.3</f>
        <v/>
      </c>
      <c r="E19" t="str">
        <f>[1]!PAGE.2.18.4</f>
        <v/>
      </c>
      <c r="F19" t="str">
        <f>[1]!PAGE.2.18.5</f>
        <v/>
      </c>
      <c r="G19" t="str">
        <f>[1]!PAGE.2.18.6</f>
        <v/>
      </c>
      <c r="H19" t="str">
        <f>[1]!PAGE.2.18.8</f>
        <v/>
      </c>
      <c r="I19">
        <f>[1]!PAGE.2.18.9</f>
        <v>4.7260256250000001</v>
      </c>
      <c r="J19" t="str">
        <f>[1]!PAGE.2.18.10</f>
        <v/>
      </c>
      <c r="K19" t="str">
        <f>[1]!PAGE.2.18.7</f>
        <v>09:40:33</v>
      </c>
    </row>
    <row r="20" spans="1:15" hidden="1" x14ac:dyDescent="0.25">
      <c r="A20" t="str">
        <f>[1]!PAGE.2.19.1</f>
        <v>16/12</v>
      </c>
      <c r="B20" t="str">
        <f>[1]!PAGE.2.19.2</f>
        <v>TRSSKBKA2716</v>
      </c>
      <c r="C20" t="str">
        <f>[1]!PAGE.2.19.11</f>
        <v>TRSSKBKA2716_KESN_T0</v>
      </c>
      <c r="D20" t="str">
        <f>[1]!PAGE.2.19.3</f>
        <v/>
      </c>
      <c r="E20" t="str">
        <f>[1]!PAGE.2.19.4</f>
        <v/>
      </c>
      <c r="F20" t="str">
        <f>[1]!PAGE.2.19.5</f>
        <v/>
      </c>
      <c r="G20" t="str">
        <f>[1]!PAGE.2.19.6</f>
        <v/>
      </c>
      <c r="H20" t="str">
        <f>[1]!PAGE.2.19.8</f>
        <v/>
      </c>
      <c r="I20">
        <f>[1]!PAGE.2.19.9</f>
        <v>0.38064516100000001</v>
      </c>
      <c r="J20" t="str">
        <f>[1]!PAGE.2.19.10</f>
        <v/>
      </c>
      <c r="K20" t="str">
        <f>[1]!PAGE.2.19.7</f>
        <v>09:44:14</v>
      </c>
    </row>
    <row r="21" spans="1:15" hidden="1" x14ac:dyDescent="0.25">
      <c r="A21" t="str">
        <f>[1]!PAGE.2.20.1</f>
        <v>16/12</v>
      </c>
      <c r="B21" t="str">
        <f>[1]!PAGE.2.20.2</f>
        <v>TRSSKBK52818</v>
      </c>
      <c r="C21" t="str">
        <f>[1]!PAGE.2.20.11</f>
        <v>TRSSKBK52818_KESN_T0</v>
      </c>
      <c r="D21" t="str">
        <f>[1]!PAGE.2.20.3</f>
        <v/>
      </c>
      <c r="E21" t="str">
        <f>[1]!PAGE.2.20.4</f>
        <v/>
      </c>
      <c r="F21" t="str">
        <f>[1]!PAGE.2.20.5</f>
        <v/>
      </c>
      <c r="G21" t="str">
        <f>[1]!PAGE.2.20.6</f>
        <v/>
      </c>
      <c r="H21" t="str">
        <f>[1]!PAGE.2.20.8</f>
        <v/>
      </c>
      <c r="I21">
        <f>[1]!PAGE.2.20.9</f>
        <v>0.38064516100000001</v>
      </c>
      <c r="J21" t="str">
        <f>[1]!PAGE.2.20.10</f>
        <v/>
      </c>
      <c r="K21" t="str">
        <f>[1]!PAGE.2.20.7</f>
        <v>09:42:36</v>
      </c>
    </row>
    <row r="22" spans="1:15" hidden="1" x14ac:dyDescent="0.25">
      <c r="A22" t="str">
        <f>[1]!PAGE.2.21.1</f>
        <v>16/12</v>
      </c>
      <c r="B22" t="str">
        <f>[1]!PAGE.2.21.2</f>
        <v>TRD061027T33</v>
      </c>
      <c r="C22" t="str">
        <f>[1]!PAGE.2.21.11</f>
        <v>TRD061027T33_KESN_T0</v>
      </c>
      <c r="D22">
        <f>[1]!PAGE.2.21.3</f>
        <v>100.15</v>
      </c>
      <c r="E22" t="str">
        <f>[1]!PAGE.2.21.4</f>
        <v/>
      </c>
      <c r="F22" t="str">
        <f>[1]!PAGE.2.21.5</f>
        <v/>
      </c>
      <c r="G22">
        <f>[1]!PAGE.2.21.6</f>
        <v>45000000</v>
      </c>
      <c r="H22">
        <f>[1]!PAGE.2.21.8</f>
        <v>48479587.920000002</v>
      </c>
      <c r="I22">
        <f>[1]!PAGE.2.21.9</f>
        <v>7.5824175819999997</v>
      </c>
      <c r="J22">
        <f>[1]!PAGE.2.21.10</f>
        <v>107.732</v>
      </c>
      <c r="K22" t="str">
        <f>[1]!PAGE.2.21.7</f>
        <v>11:55:31</v>
      </c>
    </row>
    <row r="23" spans="1:15" hidden="1" x14ac:dyDescent="0.25">
      <c r="A23" t="str">
        <f>[1]!PAGE.2.22.1</f>
        <v>16/12</v>
      </c>
      <c r="B23" t="str">
        <f>[1]!PAGE.2.22.2</f>
        <v>TRD171127T13</v>
      </c>
      <c r="C23" t="str">
        <f>[1]!PAGE.2.22.11</f>
        <v>TRD171127T13_KESN_T0</v>
      </c>
      <c r="D23" t="str">
        <f>[1]!PAGE.2.22.3</f>
        <v/>
      </c>
      <c r="E23" t="str">
        <f>[1]!PAGE.2.22.4</f>
        <v/>
      </c>
      <c r="F23" t="str">
        <f>[1]!PAGE.2.22.5</f>
        <v/>
      </c>
      <c r="G23" t="str">
        <f>[1]!PAGE.2.22.6</f>
        <v/>
      </c>
      <c r="H23" t="str">
        <f>[1]!PAGE.2.22.8</f>
        <v/>
      </c>
      <c r="I23">
        <f>[1]!PAGE.2.22.9</f>
        <v>2.818681319</v>
      </c>
      <c r="J23" t="str">
        <f>[1]!PAGE.2.22.10</f>
        <v/>
      </c>
      <c r="K23" t="str">
        <f>[1]!PAGE.2.22.7</f>
        <v>10:10:00</v>
      </c>
    </row>
    <row r="24" spans="1:15" x14ac:dyDescent="0.25">
      <c r="A24" t="str">
        <f>[1]!PAGE.2.36.1</f>
        <v>16/12</v>
      </c>
      <c r="B24" t="str">
        <f>[1]!PAGE.2.36.2</f>
        <v>TRT120826T16</v>
      </c>
      <c r="C24" t="str">
        <f>[1]!PAGE.2.36.11</f>
        <v>TRT120826T16_KESN_T0</v>
      </c>
      <c r="D24">
        <f>[1]!PAGE.2.36.3</f>
        <v>99.805999999999997</v>
      </c>
      <c r="E24">
        <f>[1]!PAGE.2.36.4</f>
        <v>35.770000000000003</v>
      </c>
      <c r="F24">
        <f>[1]!PAGE.2.36.5</f>
        <v>38.96</v>
      </c>
      <c r="G24">
        <f>[1]!PAGE.2.36.6</f>
        <v>190000000</v>
      </c>
      <c r="H24">
        <f>[1]!PAGE.2.36.8</f>
        <v>213120460.99000001</v>
      </c>
      <c r="I24">
        <f>[1]!PAGE.2.36.9</f>
        <v>12.362637362999999</v>
      </c>
      <c r="J24">
        <f>[1]!PAGE.2.36.10</f>
        <v>112.169</v>
      </c>
      <c r="K24" t="str">
        <f>[1]!PAGE.2.36.7</f>
        <v>13:49:19</v>
      </c>
      <c r="L24" s="1" t="str">
        <f>CONCATENATE("20",MID(B24,8,2))</f>
        <v>2026</v>
      </c>
      <c r="M24" t="str">
        <f>MID(B24,6,2)</f>
        <v>08</v>
      </c>
      <c r="N24" t="str">
        <f>MID(B24,4,2)</f>
        <v>12</v>
      </c>
      <c r="O24" s="1">
        <f>DATE(L24,M24,N24)</f>
        <v>46246</v>
      </c>
    </row>
    <row r="25" spans="1:15" hidden="1" x14ac:dyDescent="0.25">
      <c r="A25" t="str">
        <f>[1]!PAGE.2.24.1</f>
        <v>17/12</v>
      </c>
      <c r="B25" t="str">
        <f>[1]!PAGE.2.24.2</f>
        <v>TRT190728T18</v>
      </c>
      <c r="C25" t="str">
        <f>[1]!PAGE.2.24.11</f>
        <v>TRT190728T18_KESN_T1</v>
      </c>
      <c r="D25">
        <f>[1]!PAGE.2.24.3</f>
        <v>74.650000000000006</v>
      </c>
      <c r="E25">
        <f>[1]!PAGE.2.24.4</f>
        <v>32.409999999999997</v>
      </c>
      <c r="F25">
        <f>[1]!PAGE.2.24.5</f>
        <v>35.04</v>
      </c>
      <c r="G25">
        <f>[1]!PAGE.2.24.6</f>
        <v>101000000</v>
      </c>
      <c r="H25">
        <f>[1]!PAGE.2.24.8</f>
        <v>82452903.840000004</v>
      </c>
      <c r="I25">
        <f>[1]!PAGE.2.24.9</f>
        <v>6.9865384620000004</v>
      </c>
      <c r="J25">
        <f>[1]!PAGE.2.24.10</f>
        <v>81.637</v>
      </c>
      <c r="K25" t="str">
        <f>[1]!PAGE.2.24.7</f>
        <v>13:36:12</v>
      </c>
    </row>
    <row r="26" spans="1:15" hidden="1" x14ac:dyDescent="0.25">
      <c r="A26" t="str">
        <f>[1]!PAGE.2.25.1</f>
        <v>17/12</v>
      </c>
      <c r="B26" t="str">
        <f>[1]!PAGE.2.25.2</f>
        <v>TRT160627T13</v>
      </c>
      <c r="C26" t="str">
        <f>[1]!PAGE.2.25.11</f>
        <v>TRT160627T13_KESN_T1</v>
      </c>
      <c r="D26" t="str">
        <f>[1]!PAGE.2.25.3</f>
        <v/>
      </c>
      <c r="E26" t="str">
        <f>[1]!PAGE.2.25.4</f>
        <v/>
      </c>
      <c r="F26" t="str">
        <f>[1]!PAGE.2.25.5</f>
        <v/>
      </c>
      <c r="G26" t="str">
        <f>[1]!PAGE.2.25.6</f>
        <v/>
      </c>
      <c r="H26" t="str">
        <f>[1]!PAGE.2.25.8</f>
        <v/>
      </c>
      <c r="I26">
        <f>[1]!PAGE.2.25.9</f>
        <v>0</v>
      </c>
      <c r="J26" t="str">
        <f>[1]!PAGE.2.25.10</f>
        <v/>
      </c>
      <c r="K26" t="str">
        <f>[1]!PAGE.2.25.7</f>
        <v>14:04:16</v>
      </c>
    </row>
    <row r="27" spans="1:15" hidden="1" x14ac:dyDescent="0.25">
      <c r="A27" t="str">
        <f>[1]!PAGE.2.26.1</f>
        <v>17/12</v>
      </c>
      <c r="B27" t="str">
        <f>[1]!PAGE.2.26.2</f>
        <v>TRT051033T12</v>
      </c>
      <c r="C27" t="str">
        <f>[1]!PAGE.2.26.11</f>
        <v>TRT051033T12_KESN_T1</v>
      </c>
      <c r="D27">
        <f>[1]!PAGE.2.26.3</f>
        <v>91.944000000000003</v>
      </c>
      <c r="E27">
        <f>[1]!PAGE.2.26.4</f>
        <v>28.77</v>
      </c>
      <c r="F27">
        <f>[1]!PAGE.2.26.5</f>
        <v>30.84</v>
      </c>
      <c r="G27">
        <f>[1]!PAGE.2.26.6</f>
        <v>258000000</v>
      </c>
      <c r="H27">
        <f>[1]!PAGE.2.26.8</f>
        <v>248914807.68000001</v>
      </c>
      <c r="I27">
        <f>[1]!PAGE.2.26.9</f>
        <v>4.5346153850000004</v>
      </c>
      <c r="J27">
        <f>[1]!PAGE.2.26.10</f>
        <v>96.478999999999999</v>
      </c>
      <c r="K27" t="str">
        <f>[1]!PAGE.2.26.7</f>
        <v>14:05:24</v>
      </c>
    </row>
    <row r="28" spans="1:15" hidden="1" x14ac:dyDescent="0.25">
      <c r="A28" t="str">
        <f>[1]!PAGE.2.27.1</f>
        <v>17/12</v>
      </c>
      <c r="B28" t="str">
        <f>[1]!PAGE.2.27.2</f>
        <v>TRT160431T19</v>
      </c>
      <c r="C28" t="str">
        <f>[1]!PAGE.2.27.11</f>
        <v>TRT160431T19_KESN_T1</v>
      </c>
      <c r="D28" t="str">
        <f>[1]!PAGE.2.27.3</f>
        <v/>
      </c>
      <c r="E28" t="str">
        <f>[1]!PAGE.2.27.4</f>
        <v/>
      </c>
      <c r="F28" t="str">
        <f>[1]!PAGE.2.27.5</f>
        <v/>
      </c>
      <c r="G28" t="str">
        <f>[1]!PAGE.2.27.6</f>
        <v/>
      </c>
      <c r="H28" t="str">
        <f>[1]!PAGE.2.27.8</f>
        <v/>
      </c>
      <c r="I28">
        <f>[1]!PAGE.2.27.9</f>
        <v>5.7169230769999997</v>
      </c>
      <c r="J28" t="str">
        <f>[1]!PAGE.2.27.10</f>
        <v/>
      </c>
      <c r="K28" t="str">
        <f>[1]!PAGE.2.27.7</f>
        <v>13:33:35</v>
      </c>
    </row>
    <row r="29" spans="1:15" hidden="1" x14ac:dyDescent="0.25">
      <c r="A29" t="str">
        <f>[1]!PAGE.2.28.1</f>
        <v>17/12</v>
      </c>
      <c r="B29" t="str">
        <f>[1]!PAGE.2.28.2</f>
        <v>TRT020529T18</v>
      </c>
      <c r="C29" t="str">
        <f>[1]!PAGE.2.28.11</f>
        <v>TRT020529T18_KESN_T1</v>
      </c>
      <c r="D29" t="str">
        <f>[1]!PAGE.2.28.3</f>
        <v/>
      </c>
      <c r="E29" t="str">
        <f>[1]!PAGE.2.28.4</f>
        <v/>
      </c>
      <c r="F29" t="str">
        <f>[1]!PAGE.2.28.5</f>
        <v/>
      </c>
      <c r="G29" t="str">
        <f>[1]!PAGE.2.28.6</f>
        <v/>
      </c>
      <c r="H29" t="str">
        <f>[1]!PAGE.2.28.8</f>
        <v/>
      </c>
      <c r="I29">
        <f>[1]!PAGE.2.28.9</f>
        <v>0.28615384599999999</v>
      </c>
      <c r="J29" t="str">
        <f>[1]!PAGE.2.28.10</f>
        <v/>
      </c>
      <c r="K29" t="str">
        <f>[1]!PAGE.2.28.7</f>
        <v>14:05:24</v>
      </c>
    </row>
    <row r="30" spans="1:15" hidden="1" x14ac:dyDescent="0.25">
      <c r="A30" t="str">
        <f>[1]!PAGE.2.29.1</f>
        <v>17/12</v>
      </c>
      <c r="B30" t="str">
        <f>[1]!PAGE.2.29.2</f>
        <v>TRT120826T16</v>
      </c>
      <c r="C30" t="str">
        <f>[1]!PAGE.2.29.11</f>
        <v>TRT120826T16_KESN_T1</v>
      </c>
      <c r="D30">
        <f>[1]!PAGE.2.29.3</f>
        <v>99.828999999999994</v>
      </c>
      <c r="E30">
        <f>[1]!PAGE.2.29.4</f>
        <v>35.729999999999997</v>
      </c>
      <c r="F30">
        <f>[1]!PAGE.2.29.5</f>
        <v>38.92</v>
      </c>
      <c r="G30">
        <f>[1]!PAGE.2.29.6</f>
        <v>1040000000</v>
      </c>
      <c r="H30">
        <f>[1]!PAGE.2.29.8</f>
        <v>1167824749.9200001</v>
      </c>
      <c r="I30">
        <f>[1]!PAGE.2.29.9</f>
        <v>12.461538462</v>
      </c>
      <c r="J30">
        <f>[1]!PAGE.2.29.10</f>
        <v>112.291</v>
      </c>
      <c r="K30" t="str">
        <f>[1]!PAGE.2.29.7</f>
        <v>14:11:04</v>
      </c>
    </row>
    <row r="31" spans="1:15" hidden="1" x14ac:dyDescent="0.25">
      <c r="A31" t="str">
        <f>[1]!PAGE.2.30.1</f>
        <v>17/12</v>
      </c>
      <c r="B31" t="str">
        <f>[1]!PAGE.2.30.2</f>
        <v>TRT100227T13</v>
      </c>
      <c r="C31" t="str">
        <f>[1]!PAGE.2.30.11</f>
        <v>TRT100227T13_KESN_T1</v>
      </c>
      <c r="D31">
        <f>[1]!PAGE.2.30.3</f>
        <v>97.2</v>
      </c>
      <c r="E31">
        <f>[1]!PAGE.2.30.4</f>
        <v>35.44</v>
      </c>
      <c r="F31">
        <f>[1]!PAGE.2.30.5</f>
        <v>38.58</v>
      </c>
      <c r="G31">
        <f>[1]!PAGE.2.30.6</f>
        <v>7000000</v>
      </c>
      <c r="H31">
        <f>[1]!PAGE.2.30.8</f>
        <v>7593923.0800000001</v>
      </c>
      <c r="I31">
        <f>[1]!PAGE.2.30.9</f>
        <v>11.284615385</v>
      </c>
      <c r="J31">
        <f>[1]!PAGE.2.30.10</f>
        <v>108.485</v>
      </c>
      <c r="K31" t="str">
        <f>[1]!PAGE.2.30.7</f>
        <v>14:04:10</v>
      </c>
    </row>
    <row r="32" spans="1:15" hidden="1" x14ac:dyDescent="0.25">
      <c r="A32" t="str">
        <f>[1]!PAGE.2.31.1</f>
        <v>17/12</v>
      </c>
      <c r="B32" t="str">
        <f>[1]!PAGE.2.31.2</f>
        <v>TRT190826T19</v>
      </c>
      <c r="C32" t="str">
        <f>[1]!PAGE.2.31.11</f>
        <v>TRT190826T19_KESN_T1</v>
      </c>
      <c r="D32" t="str">
        <f>[1]!PAGE.2.31.3</f>
        <v/>
      </c>
      <c r="E32" t="str">
        <f>[1]!PAGE.2.31.4</f>
        <v/>
      </c>
      <c r="F32" t="str">
        <f>[1]!PAGE.2.31.5</f>
        <v/>
      </c>
      <c r="G32" t="str">
        <f>[1]!PAGE.2.31.6</f>
        <v/>
      </c>
      <c r="H32" t="str">
        <f>[1]!PAGE.2.31.8</f>
        <v/>
      </c>
      <c r="I32">
        <f>[1]!PAGE.2.31.9</f>
        <v>3.0442025400000001</v>
      </c>
      <c r="J32" t="str">
        <f>[1]!PAGE.2.31.10</f>
        <v/>
      </c>
      <c r="K32" t="str">
        <f>[1]!PAGE.2.31.7</f>
        <v>13:32:53</v>
      </c>
    </row>
    <row r="33" spans="1:15" hidden="1" x14ac:dyDescent="0.25">
      <c r="A33" t="str">
        <f>[1]!PAGE.2.32.1</f>
        <v>17/12</v>
      </c>
      <c r="B33" t="str">
        <f>[1]!PAGE.2.32.2</f>
        <v>TRT081128T15</v>
      </c>
      <c r="C33" t="str">
        <f>[1]!PAGE.2.32.11</f>
        <v>TRT081128T15_KESN_T1</v>
      </c>
      <c r="D33">
        <f>[1]!PAGE.2.32.3</f>
        <v>96.236999999999995</v>
      </c>
      <c r="E33">
        <f>[1]!PAGE.2.32.4</f>
        <v>33.090000000000003</v>
      </c>
      <c r="F33">
        <f>[1]!PAGE.2.32.5</f>
        <v>35.83</v>
      </c>
      <c r="G33">
        <f>[1]!PAGE.2.32.6</f>
        <v>179000000</v>
      </c>
      <c r="H33">
        <f>[1]!PAGE.2.32.8</f>
        <v>177613846.16999999</v>
      </c>
      <c r="I33">
        <f>[1]!PAGE.2.32.9</f>
        <v>2.9884615380000001</v>
      </c>
      <c r="J33">
        <f>[1]!PAGE.2.32.10</f>
        <v>99.224999999999994</v>
      </c>
      <c r="K33" t="str">
        <f>[1]!PAGE.2.32.7</f>
        <v>14:06:26</v>
      </c>
    </row>
    <row r="34" spans="1:15" hidden="1" x14ac:dyDescent="0.25">
      <c r="A34" t="str">
        <f>[1]!PAGE.2.33.1</f>
        <v>17/12</v>
      </c>
      <c r="B34" t="str">
        <f>[1]!PAGE.2.33.2</f>
        <v>TRT120929T12</v>
      </c>
      <c r="C34" t="str">
        <f>[1]!PAGE.2.33.11</f>
        <v>TRT120929T12_KESN_T1</v>
      </c>
      <c r="D34">
        <f>[1]!PAGE.2.33.3</f>
        <v>94.192999999999998</v>
      </c>
      <c r="E34">
        <f>[1]!PAGE.2.33.4</f>
        <v>32.659999999999997</v>
      </c>
      <c r="F34">
        <f>[1]!PAGE.2.33.5</f>
        <v>35.33</v>
      </c>
      <c r="G34">
        <f>[1]!PAGE.2.33.6</f>
        <v>909000000</v>
      </c>
      <c r="H34">
        <f>[1]!PAGE.2.33.8</f>
        <v>924390000</v>
      </c>
      <c r="I34">
        <f>[1]!PAGE.2.33.9</f>
        <v>7.5</v>
      </c>
      <c r="J34">
        <f>[1]!PAGE.2.33.10</f>
        <v>101.693</v>
      </c>
      <c r="K34" t="str">
        <f>[1]!PAGE.2.33.7</f>
        <v>14:08:42</v>
      </c>
    </row>
    <row r="35" spans="1:15" hidden="1" x14ac:dyDescent="0.25">
      <c r="A35" t="str">
        <f>[1]!PAGE.2.34.1</f>
        <v>17/12</v>
      </c>
      <c r="B35" t="str">
        <f>[1]!PAGE.2.34.2</f>
        <v>TRT050630T11</v>
      </c>
      <c r="C35" t="str">
        <f>[1]!PAGE.2.34.11</f>
        <v>TRT050630T11_KESN_T1</v>
      </c>
      <c r="D35">
        <f>[1]!PAGE.2.34.3</f>
        <v>93.7</v>
      </c>
      <c r="E35" t="str">
        <f>[1]!PAGE.2.34.4</f>
        <v/>
      </c>
      <c r="F35" t="str">
        <f>[1]!PAGE.2.34.5</f>
        <v/>
      </c>
      <c r="G35">
        <f>[1]!PAGE.2.34.6</f>
        <v>95000000</v>
      </c>
      <c r="H35">
        <f>[1]!PAGE.2.34.8</f>
        <v>89694615.370000005</v>
      </c>
      <c r="I35">
        <f>[1]!PAGE.2.34.9</f>
        <v>0.71538461499999995</v>
      </c>
      <c r="J35">
        <f>[1]!PAGE.2.34.10</f>
        <v>94.415000000000006</v>
      </c>
      <c r="K35" t="str">
        <f>[1]!PAGE.2.34.7</f>
        <v>14:05:43</v>
      </c>
    </row>
    <row r="36" spans="1:15" hidden="1" x14ac:dyDescent="0.25">
      <c r="A36" t="str">
        <f>[1]!PAGE.2.35.1</f>
        <v>17/12</v>
      </c>
      <c r="B36" t="str">
        <f>[1]!PAGE.2.35.2</f>
        <v>TRT270934T18</v>
      </c>
      <c r="C36" t="str">
        <f>[1]!PAGE.2.35.11</f>
        <v>TRT270934T18_KESN_T1</v>
      </c>
      <c r="D36">
        <f>[1]!PAGE.2.35.3</f>
        <v>96.2</v>
      </c>
      <c r="E36">
        <f>[1]!PAGE.2.35.4</f>
        <v>28.84</v>
      </c>
      <c r="F36">
        <f>[1]!PAGE.2.35.5</f>
        <v>30.92</v>
      </c>
      <c r="G36">
        <f>[1]!PAGE.2.35.6</f>
        <v>26000000</v>
      </c>
      <c r="H36">
        <f>[1]!PAGE.2.35.8</f>
        <v>26397000</v>
      </c>
      <c r="I36">
        <f>[1]!PAGE.2.35.9</f>
        <v>5.326923077</v>
      </c>
      <c r="J36">
        <f>[1]!PAGE.2.35.10</f>
        <v>101.527</v>
      </c>
      <c r="K36" t="str">
        <f>[1]!PAGE.2.35.7</f>
        <v>14:14:40</v>
      </c>
    </row>
    <row r="37" spans="1:15" x14ac:dyDescent="0.25">
      <c r="A37" t="str">
        <f>[1]!PAGE.2.47.1</f>
        <v>16/12</v>
      </c>
      <c r="B37" t="str">
        <f>[1]!PAGE.2.47.2</f>
        <v>TRT020926T17</v>
      </c>
      <c r="C37" t="str">
        <f>[1]!PAGE.2.47.11</f>
        <v>TRT020926T17_KESN_T0</v>
      </c>
      <c r="D37" t="str">
        <f>[1]!PAGE.2.47.3</f>
        <v/>
      </c>
      <c r="E37" t="str">
        <f>[1]!PAGE.2.47.4</f>
        <v/>
      </c>
      <c r="F37" t="str">
        <f>[1]!PAGE.2.47.5</f>
        <v/>
      </c>
      <c r="G37" t="str">
        <f>[1]!PAGE.2.47.6</f>
        <v/>
      </c>
      <c r="H37" t="str">
        <f>[1]!PAGE.2.47.8</f>
        <v/>
      </c>
      <c r="I37">
        <f>[1]!PAGE.2.47.9</f>
        <v>4.8285714290000001</v>
      </c>
      <c r="J37" t="str">
        <f>[1]!PAGE.2.47.10</f>
        <v/>
      </c>
      <c r="K37" t="str">
        <f>[1]!PAGE.2.47.7</f>
        <v>10:21:20</v>
      </c>
      <c r="L37" s="1" t="str">
        <f>CONCATENATE("20",MID(B37,8,2))</f>
        <v>2026</v>
      </c>
      <c r="M37" t="str">
        <f>MID(B37,6,2)</f>
        <v>09</v>
      </c>
      <c r="N37" t="str">
        <f>MID(B37,4,2)</f>
        <v>02</v>
      </c>
      <c r="O37" s="1">
        <f>DATE(L37,M37,N37)</f>
        <v>46267</v>
      </c>
    </row>
    <row r="38" spans="1:15" x14ac:dyDescent="0.25">
      <c r="A38" t="str">
        <f>[1]!PAGE.2.73.1</f>
        <v>16/12</v>
      </c>
      <c r="B38" t="str">
        <f>[1]!PAGE.2.73.2</f>
        <v>TRT100227T13</v>
      </c>
      <c r="C38" t="str">
        <f>[1]!PAGE.2.73.11</f>
        <v>TRT100227T13_KESN_T0</v>
      </c>
      <c r="D38">
        <f>[1]!PAGE.2.73.3</f>
        <v>97.192999999999998</v>
      </c>
      <c r="E38">
        <f>[1]!PAGE.2.73.4</f>
        <v>35.44</v>
      </c>
      <c r="F38">
        <f>[1]!PAGE.2.73.5</f>
        <v>38.58</v>
      </c>
      <c r="G38">
        <f>[1]!PAGE.2.73.6</f>
        <v>15000000</v>
      </c>
      <c r="H38">
        <f>[1]!PAGE.2.73.8</f>
        <v>16258258.24</v>
      </c>
      <c r="I38">
        <f>[1]!PAGE.2.73.9</f>
        <v>11.195054945000001</v>
      </c>
      <c r="J38">
        <f>[1]!PAGE.2.73.10</f>
        <v>108.38800000000001</v>
      </c>
      <c r="K38" t="str">
        <f>[1]!PAGE.2.73.7</f>
        <v>13:09:53</v>
      </c>
      <c r="L38" s="1" t="str">
        <f>CONCATENATE("20",MID(B38,8,2))</f>
        <v>2027</v>
      </c>
      <c r="M38" t="str">
        <f>MID(B38,6,2)</f>
        <v>02</v>
      </c>
      <c r="N38" t="str">
        <f>MID(B38,4,2)</f>
        <v>10</v>
      </c>
      <c r="O38" s="1">
        <f>DATE(L38,M38,N38)</f>
        <v>46428</v>
      </c>
    </row>
    <row r="39" spans="1:15" hidden="1" x14ac:dyDescent="0.25">
      <c r="A39" t="str">
        <f>[1]!PAGE.2.38.1</f>
        <v>17/12</v>
      </c>
      <c r="B39" t="str">
        <f>[1]!PAGE.2.38.2</f>
        <v>TRT100730T13</v>
      </c>
      <c r="C39" t="str">
        <f>[1]!PAGE.2.38.11</f>
        <v>TRT100730T13_KESN_T1</v>
      </c>
      <c r="D39">
        <f>[1]!PAGE.2.38.3</f>
        <v>103.988</v>
      </c>
      <c r="E39">
        <f>[1]!PAGE.2.38.4</f>
        <v>32.299999999999997</v>
      </c>
      <c r="F39">
        <f>[1]!PAGE.2.38.5</f>
        <v>34.92</v>
      </c>
      <c r="G39">
        <f>[1]!PAGE.2.38.6</f>
        <v>12000000</v>
      </c>
      <c r="H39">
        <f>[1]!PAGE.2.38.8</f>
        <v>14209730.77</v>
      </c>
      <c r="I39">
        <f>[1]!PAGE.2.38.9</f>
        <v>14.426923077</v>
      </c>
      <c r="J39">
        <f>[1]!PAGE.2.38.10</f>
        <v>118.41500000000001</v>
      </c>
      <c r="K39" t="str">
        <f>[1]!PAGE.2.38.7</f>
        <v>14:09:04</v>
      </c>
    </row>
    <row r="40" spans="1:15" hidden="1" x14ac:dyDescent="0.25">
      <c r="A40" t="str">
        <f>[1]!PAGE.2.39.1</f>
        <v>17/12</v>
      </c>
      <c r="B40" t="str">
        <f>[1]!PAGE.2.39.2</f>
        <v>TRT021030T18</v>
      </c>
      <c r="C40" t="str">
        <f>[1]!PAGE.2.39.11</f>
        <v>TRT021030T18_KESN_T1</v>
      </c>
      <c r="D40">
        <f>[1]!PAGE.2.39.3</f>
        <v>103.813</v>
      </c>
      <c r="E40">
        <f>[1]!PAGE.2.39.4</f>
        <v>32.159999999999997</v>
      </c>
      <c r="F40">
        <f>[1]!PAGE.2.39.5</f>
        <v>34.75</v>
      </c>
      <c r="G40">
        <f>[1]!PAGE.2.39.6</f>
        <v>951000000</v>
      </c>
      <c r="H40">
        <f>[1]!PAGE.2.39.8</f>
        <v>1049259134.61</v>
      </c>
      <c r="I40">
        <f>[1]!PAGE.2.39.9</f>
        <v>6.519230769</v>
      </c>
      <c r="J40">
        <f>[1]!PAGE.2.39.10</f>
        <v>110.33199999999999</v>
      </c>
      <c r="K40" t="str">
        <f>[1]!PAGE.2.39.7</f>
        <v>13:58:52</v>
      </c>
    </row>
    <row r="41" spans="1:15" hidden="1" x14ac:dyDescent="0.25">
      <c r="A41" t="str">
        <f>[1]!PAGE.2.40.1</f>
        <v>17/12</v>
      </c>
      <c r="B41" t="str">
        <f>[1]!PAGE.2.40.2</f>
        <v>TRT050527T33</v>
      </c>
      <c r="C41" t="str">
        <f>[1]!PAGE.2.40.11</f>
        <v>TRT050527T33_KESN_T1</v>
      </c>
      <c r="D41">
        <f>[1]!PAGE.2.40.3</f>
        <v>105.539</v>
      </c>
      <c r="E41">
        <f>[1]!PAGE.2.40.4</f>
        <v>35.32</v>
      </c>
      <c r="F41">
        <f>[1]!PAGE.2.40.5</f>
        <v>38.44</v>
      </c>
      <c r="G41">
        <f>[1]!PAGE.2.40.6</f>
        <v>410000000</v>
      </c>
      <c r="H41">
        <f>[1]!PAGE.2.40.8</f>
        <v>452104153.83999997</v>
      </c>
      <c r="I41">
        <f>[1]!PAGE.2.40.9</f>
        <v>4.730769231</v>
      </c>
      <c r="J41">
        <f>[1]!PAGE.2.40.10</f>
        <v>110.27</v>
      </c>
      <c r="K41" t="str">
        <f>[1]!PAGE.2.40.7</f>
        <v>14:14:12</v>
      </c>
    </row>
    <row r="42" spans="1:15" x14ac:dyDescent="0.25">
      <c r="A42" t="str">
        <f>[1]!PAGE.2.41.1</f>
        <v>16/12</v>
      </c>
      <c r="B42" t="str">
        <f>[1]!PAGE.2.41.2</f>
        <v>TRT050527T33</v>
      </c>
      <c r="C42" t="str">
        <f>[1]!PAGE.2.41.11</f>
        <v>TRT050527T33_KESN_T0</v>
      </c>
      <c r="D42">
        <f>[1]!PAGE.2.41.3</f>
        <v>105.53</v>
      </c>
      <c r="E42">
        <f>[1]!PAGE.2.41.4</f>
        <v>35.340000000000003</v>
      </c>
      <c r="F42">
        <f>[1]!PAGE.2.41.5</f>
        <v>38.46</v>
      </c>
      <c r="G42">
        <f>[1]!PAGE.2.41.6</f>
        <v>10000000</v>
      </c>
      <c r="H42">
        <f>[1]!PAGE.2.41.8</f>
        <v>11014813.18</v>
      </c>
      <c r="I42">
        <f>[1]!PAGE.2.41.9</f>
        <v>4.6181318679999999</v>
      </c>
      <c r="J42">
        <f>[1]!PAGE.2.41.10</f>
        <v>110.148</v>
      </c>
      <c r="K42" t="str">
        <f>[1]!PAGE.2.41.7</f>
        <v>13:41:17</v>
      </c>
      <c r="L42" s="1" t="str">
        <f>CONCATENATE("20",MID(B42,8,2))</f>
        <v>2027</v>
      </c>
      <c r="M42" t="str">
        <f>MID(B42,6,2)</f>
        <v>05</v>
      </c>
      <c r="N42" t="str">
        <f>MID(B42,4,2)</f>
        <v>05</v>
      </c>
      <c r="O42" s="1">
        <f>DATE(L42,M42,N42)</f>
        <v>46512</v>
      </c>
    </row>
    <row r="43" spans="1:15" hidden="1" x14ac:dyDescent="0.25">
      <c r="A43" t="str">
        <f>[1]!PAGE.2.42.1</f>
        <v>17/12</v>
      </c>
      <c r="B43" t="str">
        <f>[1]!PAGE.2.42.2</f>
        <v>TRT140727T14</v>
      </c>
      <c r="C43" t="str">
        <f>[1]!PAGE.2.42.11</f>
        <v>TRT140727T14_KESN_T1</v>
      </c>
      <c r="D43">
        <f>[1]!PAGE.2.42.3</f>
        <v>102.753</v>
      </c>
      <c r="E43">
        <f>[1]!PAGE.2.42.4</f>
        <v>35.24</v>
      </c>
      <c r="F43">
        <f>[1]!PAGE.2.42.5</f>
        <v>38.340000000000003</v>
      </c>
      <c r="G43">
        <f>[1]!PAGE.2.42.6</f>
        <v>926000000</v>
      </c>
      <c r="H43">
        <f>[1]!PAGE.2.42.8</f>
        <v>1099735226.96</v>
      </c>
      <c r="I43">
        <f>[1]!PAGE.2.42.9</f>
        <v>16.009230768999998</v>
      </c>
      <c r="J43">
        <f>[1]!PAGE.2.42.10</f>
        <v>118.762</v>
      </c>
      <c r="K43" t="str">
        <f>[1]!PAGE.2.42.7</f>
        <v>14:13:57</v>
      </c>
    </row>
    <row r="44" spans="1:15" hidden="1" x14ac:dyDescent="0.25">
      <c r="A44" t="str">
        <f>[1]!PAGE.2.43.1</f>
        <v>17/12</v>
      </c>
      <c r="B44" t="str">
        <f>[1]!PAGE.2.43.2</f>
        <v>TRT050935T13</v>
      </c>
      <c r="C44" t="str">
        <f>[1]!PAGE.2.43.11</f>
        <v>TRT050935T13_KESN_T1</v>
      </c>
      <c r="D44">
        <f>[1]!PAGE.2.43.3</f>
        <v>103.91</v>
      </c>
      <c r="E44">
        <f>[1]!PAGE.2.43.4</f>
        <v>28.77</v>
      </c>
      <c r="F44">
        <f>[1]!PAGE.2.43.5</f>
        <v>30.84</v>
      </c>
      <c r="G44">
        <f>[1]!PAGE.2.43.6</f>
        <v>93000000</v>
      </c>
      <c r="H44">
        <f>[1]!PAGE.2.43.8</f>
        <v>103625200</v>
      </c>
      <c r="I44">
        <f>[1]!PAGE.2.43.9</f>
        <v>7.5149999999999997</v>
      </c>
      <c r="J44">
        <f>[1]!PAGE.2.43.10</f>
        <v>111.425</v>
      </c>
      <c r="K44" t="str">
        <f>[1]!PAGE.2.43.7</f>
        <v>13:43:30</v>
      </c>
    </row>
    <row r="45" spans="1:15" x14ac:dyDescent="0.25">
      <c r="A45" t="str">
        <f>[1]!PAGE.2.3.1</f>
        <v>16/12</v>
      </c>
      <c r="B45" t="str">
        <f>[1]!PAGE.2.3.2</f>
        <v>TRT160627T13</v>
      </c>
      <c r="C45" t="str">
        <f>[1]!PAGE.2.3.11</f>
        <v>TRT160627T13_KESN_T0</v>
      </c>
      <c r="D45" t="str">
        <f>[1]!PAGE.2.3.3</f>
        <v/>
      </c>
      <c r="E45" t="str">
        <f>[1]!PAGE.2.3.4</f>
        <v/>
      </c>
      <c r="F45" t="str">
        <f>[1]!PAGE.2.3.5</f>
        <v/>
      </c>
      <c r="G45" t="str">
        <f>[1]!PAGE.2.3.6</f>
        <v/>
      </c>
      <c r="H45" t="str">
        <f>[1]!PAGE.2.3.8</f>
        <v/>
      </c>
      <c r="I45">
        <f>[1]!PAGE.2.3.9</f>
        <v>10.253924092</v>
      </c>
      <c r="J45" t="str">
        <f>[1]!PAGE.2.3.10</f>
        <v/>
      </c>
      <c r="K45" t="str">
        <f>[1]!PAGE.2.3.7</f>
        <v>13:37:08</v>
      </c>
      <c r="L45" s="1" t="str">
        <f>CONCATENATE("20",MID(B45,8,2))</f>
        <v>2027</v>
      </c>
      <c r="M45" t="str">
        <f>MID(B45,6,2)</f>
        <v>06</v>
      </c>
      <c r="N45" t="str">
        <f>MID(B45,4,2)</f>
        <v>16</v>
      </c>
      <c r="O45" s="1">
        <f>DATE(L45,M45,N45)</f>
        <v>46554</v>
      </c>
    </row>
    <row r="46" spans="1:15" hidden="1" x14ac:dyDescent="0.25">
      <c r="A46" t="str">
        <f>[1]!PAGE.2.45.1</f>
        <v>16/12</v>
      </c>
      <c r="B46" t="str">
        <f>[1]!PAGE.2.45.2</f>
        <v>TRD170730T14</v>
      </c>
      <c r="C46" t="str">
        <f>[1]!PAGE.2.45.11</f>
        <v>TRD170730T14_KESN_T0</v>
      </c>
      <c r="D46" t="str">
        <f>[1]!PAGE.2.45.3</f>
        <v/>
      </c>
      <c r="E46" t="str">
        <f>[1]!PAGE.2.45.4</f>
        <v/>
      </c>
      <c r="F46" t="str">
        <f>[1]!PAGE.2.45.5</f>
        <v/>
      </c>
      <c r="G46" t="str">
        <f>[1]!PAGE.2.45.6</f>
        <v/>
      </c>
      <c r="H46" t="str">
        <f>[1]!PAGE.2.45.8</f>
        <v/>
      </c>
      <c r="I46">
        <f>[1]!PAGE.2.45.9</f>
        <v>13.380659340999999</v>
      </c>
      <c r="J46" t="str">
        <f>[1]!PAGE.2.45.10</f>
        <v/>
      </c>
      <c r="K46" t="str">
        <f>[1]!PAGE.2.45.7</f>
        <v>09:51:21</v>
      </c>
    </row>
    <row r="47" spans="1:15" x14ac:dyDescent="0.25">
      <c r="A47" t="str">
        <f>[1]!PAGE.2.54.1</f>
        <v>16/12</v>
      </c>
      <c r="B47" t="str">
        <f>[1]!PAGE.2.54.2</f>
        <v>TRT140727T14</v>
      </c>
      <c r="C47" t="str">
        <f>[1]!PAGE.2.54.11</f>
        <v>TRT140727T14_KESN_T0</v>
      </c>
      <c r="D47">
        <f>[1]!PAGE.2.54.3</f>
        <v>102.794</v>
      </c>
      <c r="E47">
        <f>[1]!PAGE.2.54.4</f>
        <v>35.200000000000003</v>
      </c>
      <c r="F47">
        <f>[1]!PAGE.2.54.5</f>
        <v>38.299999999999997</v>
      </c>
      <c r="G47">
        <f>[1]!PAGE.2.54.6</f>
        <v>26000000</v>
      </c>
      <c r="H47">
        <f>[1]!PAGE.2.54.8</f>
        <v>30861871.43</v>
      </c>
      <c r="I47">
        <f>[1]!PAGE.2.54.9</f>
        <v>15.905274725</v>
      </c>
      <c r="J47">
        <f>[1]!PAGE.2.54.10</f>
        <v>118.699</v>
      </c>
      <c r="K47" t="str">
        <f>[1]!PAGE.2.54.7</f>
        <v>13:42:22</v>
      </c>
      <c r="L47" s="1" t="str">
        <f>CONCATENATE("20",MID(B47,8,2))</f>
        <v>2027</v>
      </c>
      <c r="M47" t="str">
        <f>MID(B47,6,2)</f>
        <v>07</v>
      </c>
      <c r="N47" t="str">
        <f>MID(B47,4,2)</f>
        <v>14</v>
      </c>
      <c r="O47" s="1">
        <f>DATE(L47,M47,N47)</f>
        <v>46582</v>
      </c>
    </row>
    <row r="48" spans="1:15" x14ac:dyDescent="0.25">
      <c r="A48" t="str">
        <f>[1]!PAGE.2.74.1</f>
        <v>16/12</v>
      </c>
      <c r="B48" t="str">
        <f>[1]!PAGE.2.74.2</f>
        <v>TRT131027T10</v>
      </c>
      <c r="C48" t="str">
        <f>[1]!PAGE.2.74.11</f>
        <v>TRT131027T10_KESN_T0</v>
      </c>
      <c r="D48">
        <f>[1]!PAGE.2.74.3</f>
        <v>100.47499999999999</v>
      </c>
      <c r="E48" t="str">
        <f>[1]!PAGE.2.74.4</f>
        <v/>
      </c>
      <c r="F48" t="str">
        <f>[1]!PAGE.2.74.5</f>
        <v/>
      </c>
      <c r="G48">
        <f>[1]!PAGE.2.74.6</f>
        <v>10000000</v>
      </c>
      <c r="H48">
        <f>[1]!PAGE.2.74.8</f>
        <v>10738378.75</v>
      </c>
      <c r="I48">
        <f>[1]!PAGE.2.74.9</f>
        <v>6.9087875079999996</v>
      </c>
      <c r="J48">
        <f>[1]!PAGE.2.74.10</f>
        <v>107.384</v>
      </c>
      <c r="K48" t="str">
        <f>[1]!PAGE.2.74.7</f>
        <v>13:37:00</v>
      </c>
      <c r="L48" s="1" t="str">
        <f>CONCATENATE("20",MID(B48,8,2))</f>
        <v>2027</v>
      </c>
      <c r="M48" t="str">
        <f>MID(B48,6,2)</f>
        <v>10</v>
      </c>
      <c r="N48" t="str">
        <f>MID(B48,4,2)</f>
        <v>13</v>
      </c>
      <c r="O48" s="1">
        <f>DATE(L48,M48,N48)</f>
        <v>46673</v>
      </c>
    </row>
    <row r="49" spans="1:15" hidden="1" x14ac:dyDescent="0.25">
      <c r="A49" t="str">
        <f>[1]!PAGE.2.48.1</f>
        <v>16/12</v>
      </c>
      <c r="B49" t="str">
        <f>[1]!PAGE.2.48.2</f>
        <v>TRD070427T14</v>
      </c>
      <c r="C49" t="str">
        <f>[1]!PAGE.2.48.11</f>
        <v>TRD070427T14_KESN_T0</v>
      </c>
      <c r="D49">
        <f>[1]!PAGE.2.48.3</f>
        <v>107.001</v>
      </c>
      <c r="E49">
        <f>[1]!PAGE.2.48.4</f>
        <v>35.1</v>
      </c>
      <c r="F49">
        <f>[1]!PAGE.2.48.5</f>
        <v>38.18</v>
      </c>
      <c r="G49">
        <f>[1]!PAGE.2.48.6</f>
        <v>50200000</v>
      </c>
      <c r="H49">
        <f>[1]!PAGE.2.48.8</f>
        <v>57770291.100000001</v>
      </c>
      <c r="I49">
        <f>[1]!PAGE.2.48.9</f>
        <v>8.0790659340000008</v>
      </c>
      <c r="J49">
        <f>[1]!PAGE.2.48.10</f>
        <v>115.08</v>
      </c>
      <c r="K49" t="str">
        <f>[1]!PAGE.2.48.7</f>
        <v>12:44:52</v>
      </c>
    </row>
    <row r="50" spans="1:15" hidden="1" x14ac:dyDescent="0.25">
      <c r="A50" t="str">
        <f>[1]!PAGE.2.49.1</f>
        <v>17/12</v>
      </c>
      <c r="B50" t="str">
        <f>[1]!PAGE.2.49.2</f>
        <v>TRT080426T16</v>
      </c>
      <c r="C50" t="str">
        <f>[1]!PAGE.2.49.11</f>
        <v>TRT080426T16_KESN_T1</v>
      </c>
      <c r="D50" t="str">
        <f>[1]!PAGE.2.49.3</f>
        <v/>
      </c>
      <c r="E50" t="str">
        <f>[1]!PAGE.2.49.4</f>
        <v/>
      </c>
      <c r="F50" t="str">
        <f>[1]!PAGE.2.49.5</f>
        <v/>
      </c>
      <c r="G50" t="str">
        <f>[1]!PAGE.2.49.6</f>
        <v/>
      </c>
      <c r="H50" t="str">
        <f>[1]!PAGE.2.49.8</f>
        <v/>
      </c>
      <c r="I50">
        <f>[1]!PAGE.2.49.9</f>
        <v>7.8478750489999998</v>
      </c>
      <c r="J50" t="str">
        <f>[1]!PAGE.2.49.10</f>
        <v/>
      </c>
      <c r="K50" t="str">
        <f>[1]!PAGE.2.49.7</f>
        <v>14:12:29</v>
      </c>
    </row>
    <row r="51" spans="1:15" x14ac:dyDescent="0.25">
      <c r="A51" t="str">
        <f>[1]!PAGE.2.52.1</f>
        <v>16/12</v>
      </c>
      <c r="B51" t="str">
        <f>[1]!PAGE.2.52.2</f>
        <v>TRT131027T36</v>
      </c>
      <c r="C51" t="str">
        <f>[1]!PAGE.2.52.11</f>
        <v>TRT131027T36_KESN_T0</v>
      </c>
      <c r="D51">
        <f>[1]!PAGE.2.52.3</f>
        <v>102</v>
      </c>
      <c r="E51">
        <f>[1]!PAGE.2.52.4</f>
        <v>34.950000000000003</v>
      </c>
      <c r="F51">
        <f>[1]!PAGE.2.52.5</f>
        <v>38</v>
      </c>
      <c r="G51">
        <f>[1]!PAGE.2.52.6</f>
        <v>90000000</v>
      </c>
      <c r="H51">
        <f>[1]!PAGE.2.52.8</f>
        <v>97438252.719999999</v>
      </c>
      <c r="I51">
        <f>[1]!PAGE.2.52.9</f>
        <v>6.264725275</v>
      </c>
      <c r="J51">
        <f>[1]!PAGE.2.52.10</f>
        <v>108.265</v>
      </c>
      <c r="K51" t="str">
        <f>[1]!PAGE.2.52.7</f>
        <v>13:24:25</v>
      </c>
      <c r="L51" s="1" t="str">
        <f>CONCATENATE("20",MID(B51,8,2))</f>
        <v>2027</v>
      </c>
      <c r="M51" t="str">
        <f>MID(B51,6,2)</f>
        <v>10</v>
      </c>
      <c r="N51" t="str">
        <f>MID(B51,4,2)</f>
        <v>13</v>
      </c>
      <c r="O51" s="1">
        <f>DATE(L51,M51,N51)</f>
        <v>46673</v>
      </c>
    </row>
    <row r="52" spans="1:15" x14ac:dyDescent="0.25">
      <c r="A52" t="str">
        <f>[1]!PAGE.2.112.1</f>
        <v>16/12</v>
      </c>
      <c r="B52" t="str">
        <f>[1]!PAGE.2.112.2</f>
        <v>TRT190128T14</v>
      </c>
      <c r="C52" t="str">
        <f>[1]!PAGE.2.112.11</f>
        <v>TRT190128T14_KESN_T0</v>
      </c>
      <c r="D52" t="str">
        <f>[1]!PAGE.2.112.3</f>
        <v/>
      </c>
      <c r="E52" t="str">
        <f>[1]!PAGE.2.112.4</f>
        <v/>
      </c>
      <c r="F52" t="str">
        <f>[1]!PAGE.2.112.5</f>
        <v/>
      </c>
      <c r="G52" t="str">
        <f>[1]!PAGE.2.112.6</f>
        <v/>
      </c>
      <c r="H52" t="str">
        <f>[1]!PAGE.2.112.8</f>
        <v/>
      </c>
      <c r="I52">
        <f>[1]!PAGE.2.112.9</f>
        <v>6.0901386840000002</v>
      </c>
      <c r="J52" t="str">
        <f>[1]!PAGE.2.112.10</f>
        <v/>
      </c>
      <c r="K52" t="str">
        <f>[1]!PAGE.2.112.7</f>
        <v>11:32:05</v>
      </c>
      <c r="L52" s="1" t="str">
        <f>CONCATENATE("20",MID(B52,8,2))</f>
        <v>2028</v>
      </c>
      <c r="M52" t="str">
        <f>MID(B52,6,2)</f>
        <v>01</v>
      </c>
      <c r="N52" t="str">
        <f>MID(B52,4,2)</f>
        <v>19</v>
      </c>
      <c r="O52" s="1">
        <f>DATE(L52,M52,N52)</f>
        <v>46771</v>
      </c>
    </row>
    <row r="53" spans="1:15" x14ac:dyDescent="0.25">
      <c r="A53" t="str">
        <f>[1]!PAGE.2.105.1</f>
        <v>16/12</v>
      </c>
      <c r="B53" t="str">
        <f>[1]!PAGE.2.105.2</f>
        <v>TRT010328T12</v>
      </c>
      <c r="C53" t="str">
        <f>[1]!PAGE.2.105.11</f>
        <v>TRT010328T12_KESN_T0</v>
      </c>
      <c r="D53" t="str">
        <f>[1]!PAGE.2.105.3</f>
        <v/>
      </c>
      <c r="E53" t="str">
        <f>[1]!PAGE.2.105.4</f>
        <v/>
      </c>
      <c r="F53" t="str">
        <f>[1]!PAGE.2.105.5</f>
        <v/>
      </c>
      <c r="G53" t="str">
        <f>[1]!PAGE.2.105.6</f>
        <v/>
      </c>
      <c r="H53" t="str">
        <f>[1]!PAGE.2.105.8</f>
        <v/>
      </c>
      <c r="I53">
        <f>[1]!PAGE.2.105.9</f>
        <v>1.3973577500000001</v>
      </c>
      <c r="J53" t="str">
        <f>[1]!PAGE.2.105.10</f>
        <v/>
      </c>
      <c r="K53" t="str">
        <f>[1]!PAGE.2.105.7</f>
        <v>11:00:55</v>
      </c>
      <c r="L53" s="1" t="str">
        <f>CONCATENATE("20",MID(B53,8,2))</f>
        <v>2028</v>
      </c>
      <c r="M53" t="str">
        <f>MID(B53,6,2)</f>
        <v>03</v>
      </c>
      <c r="N53" t="str">
        <f>MID(B53,4,2)</f>
        <v>01</v>
      </c>
      <c r="O53" s="1">
        <f>DATE(L53,M53,N53)</f>
        <v>46813</v>
      </c>
    </row>
    <row r="54" spans="1:15" x14ac:dyDescent="0.25">
      <c r="A54" t="str">
        <f>[1]!PAGE.2.51.1</f>
        <v>16/12</v>
      </c>
      <c r="B54" t="str">
        <f>[1]!PAGE.2.51.2</f>
        <v>TRT170528T12</v>
      </c>
      <c r="C54" t="str">
        <f>[1]!PAGE.2.51.11</f>
        <v>TRT170528T12_KESN_T0</v>
      </c>
      <c r="D54" t="str">
        <f>[1]!PAGE.2.51.3</f>
        <v/>
      </c>
      <c r="E54" t="str">
        <f>[1]!PAGE.2.51.4</f>
        <v/>
      </c>
      <c r="F54" t="str">
        <f>[1]!PAGE.2.51.5</f>
        <v/>
      </c>
      <c r="G54" t="str">
        <f>[1]!PAGE.2.51.6</f>
        <v/>
      </c>
      <c r="H54" t="str">
        <f>[1]!PAGE.2.51.8</f>
        <v/>
      </c>
      <c r="I54">
        <f>[1]!PAGE.2.51.9</f>
        <v>2.9377564889999999</v>
      </c>
      <c r="J54" t="str">
        <f>[1]!PAGE.2.51.10</f>
        <v/>
      </c>
      <c r="K54" t="str">
        <f>[1]!PAGE.2.51.7</f>
        <v>13:36:06</v>
      </c>
      <c r="L54" s="1" t="str">
        <f>CONCATENATE("20",MID(B54,8,2))</f>
        <v>2028</v>
      </c>
      <c r="M54" t="str">
        <f>MID(B54,6,2)</f>
        <v>05</v>
      </c>
      <c r="N54" t="str">
        <f>MID(B54,4,2)</f>
        <v>17</v>
      </c>
      <c r="O54" s="1">
        <f>DATE(L54,M54,N54)</f>
        <v>46890</v>
      </c>
    </row>
    <row r="55" spans="1:15" x14ac:dyDescent="0.25">
      <c r="A55" t="str">
        <f>[1]!PAGE.2.75.1</f>
        <v>16/12</v>
      </c>
      <c r="B55" t="str">
        <f>[1]!PAGE.2.75.2</f>
        <v>TRT190728T18</v>
      </c>
      <c r="C55" t="str">
        <f>[1]!PAGE.2.75.11</f>
        <v>TRT190728T18_KESN_T0</v>
      </c>
      <c r="D55">
        <f>[1]!PAGE.2.75.3</f>
        <v>74.688000000000002</v>
      </c>
      <c r="E55">
        <f>[1]!PAGE.2.75.4</f>
        <v>32.369999999999997</v>
      </c>
      <c r="F55">
        <f>[1]!PAGE.2.75.5</f>
        <v>34.99</v>
      </c>
      <c r="G55">
        <f>[1]!PAGE.2.75.6</f>
        <v>4000000</v>
      </c>
      <c r="H55">
        <f>[1]!PAGE.2.75.8</f>
        <v>3265060.44</v>
      </c>
      <c r="I55">
        <f>[1]!PAGE.2.75.9</f>
        <v>6.9390109889999998</v>
      </c>
      <c r="J55">
        <f>[1]!PAGE.2.75.10</f>
        <v>81.626999999999995</v>
      </c>
      <c r="K55" t="str">
        <f>[1]!PAGE.2.75.7</f>
        <v>13:35:53</v>
      </c>
      <c r="L55" s="1" t="str">
        <f>CONCATENATE("20",MID(B55,8,2))</f>
        <v>2028</v>
      </c>
      <c r="M55" t="str">
        <f>MID(B55,6,2)</f>
        <v>07</v>
      </c>
      <c r="N55" t="str">
        <f>MID(B55,4,2)</f>
        <v>19</v>
      </c>
      <c r="O55" s="1">
        <f>DATE(L55,M55,N55)</f>
        <v>46953</v>
      </c>
    </row>
    <row r="56" spans="1:15" x14ac:dyDescent="0.25">
      <c r="A56" t="str">
        <f>[1]!PAGE.2.125.1</f>
        <v>16/12</v>
      </c>
      <c r="B56" t="str">
        <f>[1]!PAGE.2.125.2</f>
        <v>TRT190728T34</v>
      </c>
      <c r="C56" t="str">
        <f>[1]!PAGE.2.125.11</f>
        <v>TRT190728T34_KESN_T0</v>
      </c>
      <c r="D56" t="str">
        <f>[1]!PAGE.2.125.3</f>
        <v/>
      </c>
      <c r="E56" t="str">
        <f>[1]!PAGE.2.125.4</f>
        <v/>
      </c>
      <c r="F56" t="str">
        <f>[1]!PAGE.2.125.5</f>
        <v/>
      </c>
      <c r="G56" t="str">
        <f>[1]!PAGE.2.125.6</f>
        <v/>
      </c>
      <c r="H56" t="str">
        <f>[1]!PAGE.2.125.8</f>
        <v/>
      </c>
      <c r="I56">
        <f>[1]!PAGE.2.125.9</f>
        <v>0</v>
      </c>
      <c r="J56" t="str">
        <f>[1]!PAGE.2.125.10</f>
        <v/>
      </c>
      <c r="K56" t="str">
        <f>[1]!PAGE.2.125.7</f>
        <v>12:01:55</v>
      </c>
      <c r="L56" s="1" t="str">
        <f>CONCATENATE("20",MID(B56,8,2))</f>
        <v>2028</v>
      </c>
      <c r="M56" t="str">
        <f>MID(B56,6,2)</f>
        <v>07</v>
      </c>
      <c r="N56" t="str">
        <f>MID(B56,4,2)</f>
        <v>19</v>
      </c>
      <c r="O56" s="1">
        <f>DATE(L56,M56,N56)</f>
        <v>46953</v>
      </c>
    </row>
    <row r="57" spans="1:15" x14ac:dyDescent="0.25">
      <c r="A57" t="str">
        <f>[1]!PAGE.2.2.1</f>
        <v>16/12</v>
      </c>
      <c r="B57" t="str">
        <f>[1]!PAGE.2.2.2</f>
        <v>TRT060928T11</v>
      </c>
      <c r="C57" t="str">
        <f>[1]!PAGE.2.2.11</f>
        <v>TRT060928T11_KESN_T0</v>
      </c>
      <c r="D57">
        <f>[1]!PAGE.2.2.3</f>
        <v>99.7</v>
      </c>
      <c r="E57" t="str">
        <f>[1]!PAGE.2.2.4</f>
        <v/>
      </c>
      <c r="F57" t="str">
        <f>[1]!PAGE.2.2.5</f>
        <v/>
      </c>
      <c r="G57">
        <f>[1]!PAGE.2.2.6</f>
        <v>210000000</v>
      </c>
      <c r="H57">
        <f>[1]!PAGE.2.2.8</f>
        <v>210704781.44</v>
      </c>
      <c r="I57">
        <f>[1]!PAGE.2.2.9</f>
        <v>0.63572925899999999</v>
      </c>
      <c r="J57">
        <f>[1]!PAGE.2.2.10</f>
        <v>100.336</v>
      </c>
      <c r="K57" t="str">
        <f>[1]!PAGE.2.2.7</f>
        <v>13:55:16</v>
      </c>
      <c r="L57" s="1" t="str">
        <f>CONCATENATE("20",MID(B57,8,2))</f>
        <v>2028</v>
      </c>
      <c r="M57" t="str">
        <f>MID(B57,6,2)</f>
        <v>09</v>
      </c>
      <c r="N57" t="str">
        <f>MID(B57,4,2)</f>
        <v>06</v>
      </c>
      <c r="O57" s="1">
        <f>DATE(L57,M57,N57)</f>
        <v>47002</v>
      </c>
    </row>
    <row r="58" spans="1:15" hidden="1" x14ac:dyDescent="0.25">
      <c r="A58" t="str">
        <f>[1]!PAGE.2.57.1</f>
        <v>16/12</v>
      </c>
      <c r="B58" t="str">
        <f>[1]!PAGE.2.57.2</f>
        <v>TRD180326T13</v>
      </c>
      <c r="C58" t="str">
        <f>[1]!PAGE.2.57.11</f>
        <v>TRD180326T13_KESN_T0</v>
      </c>
      <c r="D58">
        <f>[1]!PAGE.2.57.3</f>
        <v>5930</v>
      </c>
      <c r="E58" t="str">
        <f>[1]!PAGE.2.57.4</f>
        <v/>
      </c>
      <c r="F58" t="str">
        <f>[1]!PAGE.2.57.5</f>
        <v/>
      </c>
      <c r="G58">
        <f>[1]!PAGE.2.57.6</f>
        <v>6965</v>
      </c>
      <c r="H58">
        <f>[1]!PAGE.2.57.8</f>
        <v>41302450</v>
      </c>
      <c r="I58" t="str">
        <f>[1]!PAGE.2.57.9</f>
        <v/>
      </c>
      <c r="J58">
        <f>[1]!PAGE.2.57.10</f>
        <v>5930</v>
      </c>
      <c r="K58" t="str">
        <f>[1]!PAGE.2.57.7</f>
        <v>12:47:44</v>
      </c>
    </row>
    <row r="59" spans="1:15" hidden="1" x14ac:dyDescent="0.25">
      <c r="A59" t="str">
        <f>[1]!PAGE.2.58.1</f>
        <v>17/12</v>
      </c>
      <c r="B59" t="str">
        <f>[1]!PAGE.2.58.2</f>
        <v>TRT050527T17</v>
      </c>
      <c r="C59" t="str">
        <f>[1]!PAGE.2.58.11</f>
        <v>TRT050527T17_KESN_T1</v>
      </c>
      <c r="D59" t="str">
        <f>[1]!PAGE.2.58.3</f>
        <v/>
      </c>
      <c r="E59" t="str">
        <f>[1]!PAGE.2.58.4</f>
        <v/>
      </c>
      <c r="F59" t="str">
        <f>[1]!PAGE.2.58.5</f>
        <v/>
      </c>
      <c r="G59" t="str">
        <f>[1]!PAGE.2.58.6</f>
        <v/>
      </c>
      <c r="H59" t="str">
        <f>[1]!PAGE.2.58.8</f>
        <v/>
      </c>
      <c r="I59">
        <f>[1]!PAGE.2.58.9</f>
        <v>4.2876923079999996</v>
      </c>
      <c r="J59" t="str">
        <f>[1]!PAGE.2.58.10</f>
        <v/>
      </c>
      <c r="K59" t="str">
        <f>[1]!PAGE.2.58.7</f>
        <v>09:57:43</v>
      </c>
    </row>
    <row r="60" spans="1:15" hidden="1" x14ac:dyDescent="0.25">
      <c r="A60" t="str">
        <f>[1]!PAGE.2.59.1</f>
        <v>17/12</v>
      </c>
      <c r="B60" t="str">
        <f>[1]!PAGE.2.59.2</f>
        <v>TRT171127T15</v>
      </c>
      <c r="C60" t="str">
        <f>[1]!PAGE.2.59.11</f>
        <v>TRT171127T15_KESN_T1</v>
      </c>
      <c r="D60" t="str">
        <f>[1]!PAGE.2.59.3</f>
        <v/>
      </c>
      <c r="E60" t="str">
        <f>[1]!PAGE.2.59.4</f>
        <v/>
      </c>
      <c r="F60" t="str">
        <f>[1]!PAGE.2.59.5</f>
        <v/>
      </c>
      <c r="G60" t="str">
        <f>[1]!PAGE.2.59.6</f>
        <v/>
      </c>
      <c r="H60" t="str">
        <f>[1]!PAGE.2.59.8</f>
        <v/>
      </c>
      <c r="I60">
        <f>[1]!PAGE.2.59.9</f>
        <v>2.8615384619999999</v>
      </c>
      <c r="J60" t="str">
        <f>[1]!PAGE.2.59.10</f>
        <v/>
      </c>
      <c r="K60" t="str">
        <f>[1]!PAGE.2.59.7</f>
        <v>09:57:48</v>
      </c>
    </row>
    <row r="61" spans="1:15" hidden="1" x14ac:dyDescent="0.25">
      <c r="A61" t="str">
        <f>[1]!PAGE.2.60.1</f>
        <v>16/12</v>
      </c>
      <c r="B61" t="str">
        <f>[1]!PAGE.2.60.2</f>
        <v>TRD200526T17</v>
      </c>
      <c r="C61" t="str">
        <f>[1]!PAGE.2.60.11</f>
        <v>TRD200526T17_KESN_T0</v>
      </c>
      <c r="D61">
        <f>[1]!PAGE.2.60.3</f>
        <v>5920</v>
      </c>
      <c r="E61" t="str">
        <f>[1]!PAGE.2.60.4</f>
        <v/>
      </c>
      <c r="F61" t="str">
        <f>[1]!PAGE.2.60.5</f>
        <v/>
      </c>
      <c r="G61">
        <f>[1]!PAGE.2.60.6</f>
        <v>4975</v>
      </c>
      <c r="H61">
        <f>[1]!PAGE.2.60.8</f>
        <v>29452000</v>
      </c>
      <c r="I61" t="str">
        <f>[1]!PAGE.2.60.9</f>
        <v/>
      </c>
      <c r="J61">
        <f>[1]!PAGE.2.60.10</f>
        <v>5920</v>
      </c>
      <c r="K61" t="str">
        <f>[1]!PAGE.2.60.7</f>
        <v>12:45:38</v>
      </c>
    </row>
    <row r="62" spans="1:15" hidden="1" x14ac:dyDescent="0.25">
      <c r="A62" t="str">
        <f>[1]!PAGE.2.61.1</f>
        <v>17/12</v>
      </c>
      <c r="B62" t="str">
        <f>[1]!PAGE.2.61.2</f>
        <v>TRT220726F11</v>
      </c>
      <c r="C62" t="str">
        <f>[1]!PAGE.2.61.11</f>
        <v>TRT220726F11_KESN_T1</v>
      </c>
      <c r="D62" t="str">
        <f>[1]!PAGE.2.61.3</f>
        <v/>
      </c>
      <c r="E62" t="str">
        <f>[1]!PAGE.2.61.4</f>
        <v/>
      </c>
      <c r="F62" t="str">
        <f>[1]!PAGE.2.61.5</f>
        <v/>
      </c>
      <c r="G62" t="str">
        <f>[1]!PAGE.2.61.6</f>
        <v/>
      </c>
      <c r="H62" t="str">
        <f>[1]!PAGE.2.61.8</f>
        <v/>
      </c>
      <c r="I62">
        <f>[1]!PAGE.2.61.9</f>
        <v>2.0596153849999999</v>
      </c>
      <c r="J62" t="str">
        <f>[1]!PAGE.2.61.10</f>
        <v/>
      </c>
      <c r="K62" t="str">
        <f>[1]!PAGE.2.61.7</f>
        <v>11:16:02</v>
      </c>
    </row>
    <row r="63" spans="1:15" x14ac:dyDescent="0.25">
      <c r="A63" t="str">
        <f>[1]!PAGE.2.137.1</f>
        <v>16/12</v>
      </c>
      <c r="B63" t="str">
        <f>[1]!PAGE.2.137.2</f>
        <v>TRT081128T15</v>
      </c>
      <c r="C63" t="str">
        <f>[1]!PAGE.2.137.11</f>
        <v>TRT081128T15_KESN_T0</v>
      </c>
      <c r="D63" t="str">
        <f>[1]!PAGE.2.137.3</f>
        <v/>
      </c>
      <c r="E63" t="str">
        <f>[1]!PAGE.2.137.4</f>
        <v/>
      </c>
      <c r="F63" t="str">
        <f>[1]!PAGE.2.137.5</f>
        <v/>
      </c>
      <c r="G63" t="str">
        <f>[1]!PAGE.2.137.6</f>
        <v/>
      </c>
      <c r="H63" t="str">
        <f>[1]!PAGE.2.137.8</f>
        <v/>
      </c>
      <c r="I63">
        <f>[1]!PAGE.2.137.9</f>
        <v>2.903076923</v>
      </c>
      <c r="J63" t="str">
        <f>[1]!PAGE.2.137.10</f>
        <v/>
      </c>
      <c r="K63" t="str">
        <f>[1]!PAGE.2.137.7</f>
        <v>13:58:50</v>
      </c>
      <c r="L63" s="1" t="str">
        <f>CONCATENATE("20",MID(B63,8,2))</f>
        <v>2028</v>
      </c>
      <c r="M63" t="str">
        <f>MID(B63,6,2)</f>
        <v>11</v>
      </c>
      <c r="N63" t="str">
        <f>MID(B63,4,2)</f>
        <v>08</v>
      </c>
      <c r="O63" s="1">
        <f>DATE(L63,M63,N63)</f>
        <v>47065</v>
      </c>
    </row>
    <row r="64" spans="1:15" hidden="1" x14ac:dyDescent="0.25">
      <c r="A64" t="str">
        <f>[1]!PAGE.2.63.1</f>
        <v>16/12</v>
      </c>
      <c r="B64" t="str">
        <f>[1]!PAGE.2.63.2</f>
        <v>TRD200127T10</v>
      </c>
      <c r="C64" t="str">
        <f>[1]!PAGE.2.63.11</f>
        <v>TRD200127T10_KESN_T0</v>
      </c>
      <c r="D64" t="str">
        <f>[1]!PAGE.2.63.3</f>
        <v/>
      </c>
      <c r="E64" t="str">
        <f>[1]!PAGE.2.63.4</f>
        <v/>
      </c>
      <c r="F64" t="str">
        <f>[1]!PAGE.2.63.5</f>
        <v/>
      </c>
      <c r="G64" t="str">
        <f>[1]!PAGE.2.63.6</f>
        <v/>
      </c>
      <c r="H64" t="str">
        <f>[1]!PAGE.2.63.8</f>
        <v/>
      </c>
      <c r="I64">
        <f>[1]!PAGE.2.63.9</f>
        <v>0</v>
      </c>
      <c r="J64" t="str">
        <f>[1]!PAGE.2.63.10</f>
        <v/>
      </c>
      <c r="K64" t="str">
        <f>[1]!PAGE.2.63.7</f>
        <v>10:02:37</v>
      </c>
    </row>
    <row r="65" spans="1:15" hidden="1" x14ac:dyDescent="0.25">
      <c r="A65" t="str">
        <f>[1]!PAGE.2.64.1</f>
        <v>16/12</v>
      </c>
      <c r="B65" t="str">
        <f>[1]!PAGE.2.64.2</f>
        <v>TRD220726T13</v>
      </c>
      <c r="C65" t="str">
        <f>[1]!PAGE.2.64.11</f>
        <v>TRD220726T13_KESN_T0</v>
      </c>
      <c r="D65" t="str">
        <f>[1]!PAGE.2.64.3</f>
        <v/>
      </c>
      <c r="E65" t="str">
        <f>[1]!PAGE.2.64.4</f>
        <v/>
      </c>
      <c r="F65" t="str">
        <f>[1]!PAGE.2.64.5</f>
        <v/>
      </c>
      <c r="G65" t="str">
        <f>[1]!PAGE.2.64.6</f>
        <v/>
      </c>
      <c r="H65" t="str">
        <f>[1]!PAGE.2.64.8</f>
        <v/>
      </c>
      <c r="I65">
        <f>[1]!PAGE.2.64.9</f>
        <v>15.458351648000001</v>
      </c>
      <c r="J65" t="str">
        <f>[1]!PAGE.2.64.10</f>
        <v/>
      </c>
      <c r="K65" t="str">
        <f>[1]!PAGE.2.64.7</f>
        <v>12:41:31</v>
      </c>
    </row>
    <row r="66" spans="1:15" hidden="1" x14ac:dyDescent="0.25">
      <c r="A66" t="str">
        <f>[1]!PAGE.2.65.1</f>
        <v>16/12</v>
      </c>
      <c r="B66" t="str">
        <f>[1]!PAGE.2.65.2</f>
        <v>TRD120826T14</v>
      </c>
      <c r="C66" t="str">
        <f>[1]!PAGE.2.65.11</f>
        <v>TRD120826T14_KESN_T0</v>
      </c>
      <c r="D66" t="str">
        <f>[1]!PAGE.2.65.3</f>
        <v/>
      </c>
      <c r="E66" t="str">
        <f>[1]!PAGE.2.65.4</f>
        <v/>
      </c>
      <c r="F66" t="str">
        <f>[1]!PAGE.2.65.5</f>
        <v/>
      </c>
      <c r="G66" t="str">
        <f>[1]!PAGE.2.65.6</f>
        <v/>
      </c>
      <c r="H66" t="str">
        <f>[1]!PAGE.2.65.8</f>
        <v/>
      </c>
      <c r="I66">
        <f>[1]!PAGE.2.65.9</f>
        <v>12.946428571</v>
      </c>
      <c r="J66" t="str">
        <f>[1]!PAGE.2.65.10</f>
        <v/>
      </c>
      <c r="K66" t="str">
        <f>[1]!PAGE.2.65.7</f>
        <v>10:19:53</v>
      </c>
    </row>
    <row r="67" spans="1:15" hidden="1" x14ac:dyDescent="0.25">
      <c r="A67" t="str">
        <f>[1]!PAGE.2.66.1</f>
        <v>16/12</v>
      </c>
      <c r="B67" t="str">
        <f>[1]!PAGE.2.66.2</f>
        <v>TRD141026T18</v>
      </c>
      <c r="C67" t="str">
        <f>[1]!PAGE.2.66.11</f>
        <v>TRD141026T18_KESN_T0</v>
      </c>
      <c r="D67" t="str">
        <f>[1]!PAGE.2.66.3</f>
        <v/>
      </c>
      <c r="E67" t="str">
        <f>[1]!PAGE.2.66.4</f>
        <v/>
      </c>
      <c r="F67" t="str">
        <f>[1]!PAGE.2.66.5</f>
        <v/>
      </c>
      <c r="G67" t="str">
        <f>[1]!PAGE.2.66.6</f>
        <v/>
      </c>
      <c r="H67" t="str">
        <f>[1]!PAGE.2.66.8</f>
        <v/>
      </c>
      <c r="I67">
        <f>[1]!PAGE.2.66.9</f>
        <v>6.6564835159999998</v>
      </c>
      <c r="J67" t="str">
        <f>[1]!PAGE.2.66.10</f>
        <v/>
      </c>
      <c r="K67" t="str">
        <f>[1]!PAGE.2.66.7</f>
        <v>10:07:57</v>
      </c>
    </row>
    <row r="68" spans="1:15" hidden="1" x14ac:dyDescent="0.25">
      <c r="A68" t="str">
        <f>[1]!PAGE.2.67.1</f>
        <v>16/12</v>
      </c>
      <c r="B68" t="str">
        <f>[1]!PAGE.2.67.2</f>
        <v>TRD100227T11</v>
      </c>
      <c r="C68" t="str">
        <f>[1]!PAGE.2.67.11</f>
        <v>TRD100227T11_KESN_T0</v>
      </c>
      <c r="D68" t="str">
        <f>[1]!PAGE.2.67.3</f>
        <v/>
      </c>
      <c r="E68" t="str">
        <f>[1]!PAGE.2.67.4</f>
        <v/>
      </c>
      <c r="F68" t="str">
        <f>[1]!PAGE.2.67.5</f>
        <v/>
      </c>
      <c r="G68" t="str">
        <f>[1]!PAGE.2.67.6</f>
        <v/>
      </c>
      <c r="H68" t="str">
        <f>[1]!PAGE.2.67.8</f>
        <v/>
      </c>
      <c r="I68">
        <f>[1]!PAGE.2.67.9</f>
        <v>11.923076923</v>
      </c>
      <c r="J68" t="str">
        <f>[1]!PAGE.2.67.10</f>
        <v/>
      </c>
      <c r="K68" t="str">
        <f>[1]!PAGE.2.67.7</f>
        <v>11:51:19</v>
      </c>
    </row>
    <row r="69" spans="1:15" hidden="1" x14ac:dyDescent="0.25">
      <c r="A69" t="str">
        <f>[1]!PAGE.2.68.1</f>
        <v>16/12</v>
      </c>
      <c r="B69" t="str">
        <f>[1]!PAGE.2.68.2</f>
        <v>TRFQYBN12610</v>
      </c>
      <c r="C69" t="str">
        <f>[1]!PAGE.2.68.11</f>
        <v>TRFQYBN12610_KESN_T0</v>
      </c>
      <c r="D69" t="str">
        <f>[1]!PAGE.2.68.3</f>
        <v/>
      </c>
      <c r="E69" t="str">
        <f>[1]!PAGE.2.68.4</f>
        <v/>
      </c>
      <c r="F69" t="str">
        <f>[1]!PAGE.2.68.5</f>
        <v/>
      </c>
      <c r="G69" t="str">
        <f>[1]!PAGE.2.68.6</f>
        <v/>
      </c>
      <c r="H69" t="str">
        <f>[1]!PAGE.2.68.8</f>
        <v/>
      </c>
      <c r="I69">
        <f>[1]!PAGE.2.68.9</f>
        <v>21.698387097000001</v>
      </c>
      <c r="J69" t="str">
        <f>[1]!PAGE.2.68.10</f>
        <v/>
      </c>
      <c r="K69" t="str">
        <f>[1]!PAGE.2.68.7</f>
        <v>10:22:09</v>
      </c>
    </row>
    <row r="70" spans="1:15" hidden="1" x14ac:dyDescent="0.25">
      <c r="A70" t="str">
        <f>[1]!PAGE.2.69.1</f>
        <v>16/12</v>
      </c>
      <c r="B70" t="str">
        <f>[1]!PAGE.2.69.2</f>
        <v>TRFTERA72613</v>
      </c>
      <c r="C70" t="str">
        <f>[1]!PAGE.2.69.11</f>
        <v>TRFTERA72613_KESN_T0</v>
      </c>
      <c r="D70" t="str">
        <f>[1]!PAGE.2.69.3</f>
        <v/>
      </c>
      <c r="E70" t="str">
        <f>[1]!PAGE.2.69.4</f>
        <v/>
      </c>
      <c r="F70" t="str">
        <f>[1]!PAGE.2.69.5</f>
        <v/>
      </c>
      <c r="G70" t="str">
        <f>[1]!PAGE.2.69.6</f>
        <v/>
      </c>
      <c r="H70" t="str">
        <f>[1]!PAGE.2.69.8</f>
        <v/>
      </c>
      <c r="I70" t="str">
        <f>[1]!PAGE.2.69.9</f>
        <v/>
      </c>
      <c r="J70" t="str">
        <f>[1]!PAGE.2.69.10</f>
        <v/>
      </c>
      <c r="K70" t="str">
        <f>[1]!PAGE.2.69.7</f>
        <v>10:04:11</v>
      </c>
    </row>
    <row r="71" spans="1:15" hidden="1" x14ac:dyDescent="0.25">
      <c r="A71" t="str">
        <f>[1]!PAGE.2.70.1</f>
        <v>16/12</v>
      </c>
      <c r="B71" t="str">
        <f>[1]!PAGE.2.70.2</f>
        <v>TRDGLVKK2611</v>
      </c>
      <c r="C71" t="str">
        <f>[1]!PAGE.2.70.11</f>
        <v>TRDGLVKK2611_KESN_T0</v>
      </c>
      <c r="D71" t="str">
        <f>[1]!PAGE.2.70.3</f>
        <v/>
      </c>
      <c r="E71" t="str">
        <f>[1]!PAGE.2.70.4</f>
        <v/>
      </c>
      <c r="F71" t="str">
        <f>[1]!PAGE.2.70.5</f>
        <v/>
      </c>
      <c r="G71" t="str">
        <f>[1]!PAGE.2.70.6</f>
        <v/>
      </c>
      <c r="H71" t="str">
        <f>[1]!PAGE.2.70.8</f>
        <v/>
      </c>
      <c r="I71">
        <f>[1]!PAGE.2.70.9</f>
        <v>4.5451846150000002</v>
      </c>
      <c r="J71" t="str">
        <f>[1]!PAGE.2.70.10</f>
        <v/>
      </c>
      <c r="K71" t="str">
        <f>[1]!PAGE.2.70.7</f>
        <v>10:06:23</v>
      </c>
    </row>
    <row r="72" spans="1:15" hidden="1" x14ac:dyDescent="0.25">
      <c r="A72" t="str">
        <f>[1]!PAGE.2.71.1</f>
        <v>17/12</v>
      </c>
      <c r="B72" t="str">
        <f>[1]!PAGE.2.71.2</f>
        <v>TRT131027T36</v>
      </c>
      <c r="C72" t="str">
        <f>[1]!PAGE.2.71.11</f>
        <v>TRT131027T36_KESN_T1</v>
      </c>
      <c r="D72">
        <f>[1]!PAGE.2.71.3</f>
        <v>101.999</v>
      </c>
      <c r="E72">
        <f>[1]!PAGE.2.71.4</f>
        <v>34.950000000000003</v>
      </c>
      <c r="F72">
        <f>[1]!PAGE.2.71.5</f>
        <v>38</v>
      </c>
      <c r="G72">
        <f>[1]!PAGE.2.71.6</f>
        <v>142000000</v>
      </c>
      <c r="H72">
        <f>[1]!PAGE.2.71.8</f>
        <v>153878392.30000001</v>
      </c>
      <c r="I72">
        <f>[1]!PAGE.2.71.9</f>
        <v>6.3657692309999998</v>
      </c>
      <c r="J72">
        <f>[1]!PAGE.2.71.10</f>
        <v>108.36499999999999</v>
      </c>
      <c r="K72" t="str">
        <f>[1]!PAGE.2.71.7</f>
        <v>14:03:23</v>
      </c>
    </row>
    <row r="73" spans="1:15" hidden="1" x14ac:dyDescent="0.25">
      <c r="A73" t="str">
        <f>[1]!PAGE.2.72.1</f>
        <v>16/12</v>
      </c>
      <c r="B73" t="str">
        <f>[1]!PAGE.2.72.2</f>
        <v>TRDZKVK32633</v>
      </c>
      <c r="C73" t="str">
        <f>[1]!PAGE.2.72.11</f>
        <v>TRDZKVK32633_KESN_T0</v>
      </c>
      <c r="D73">
        <f>[1]!PAGE.2.72.3</f>
        <v>101.232</v>
      </c>
      <c r="E73">
        <f>[1]!PAGE.2.72.4</f>
        <v>31.97</v>
      </c>
      <c r="F73">
        <f>[1]!PAGE.2.72.5</f>
        <v>36.020000000000003</v>
      </c>
      <c r="G73">
        <f>[1]!PAGE.2.72.6</f>
        <v>1999900000</v>
      </c>
      <c r="H73">
        <f>[1]!PAGE.2.72.8</f>
        <v>2036866914.3699999</v>
      </c>
      <c r="I73">
        <f>[1]!PAGE.2.72.9</f>
        <v>0.61643814399999997</v>
      </c>
      <c r="J73">
        <f>[1]!PAGE.2.72.10</f>
        <v>101.848</v>
      </c>
      <c r="K73" t="str">
        <f>[1]!PAGE.2.72.7</f>
        <v>10:11:35</v>
      </c>
    </row>
    <row r="74" spans="1:15" x14ac:dyDescent="0.25">
      <c r="A74" t="str">
        <f>[1]!PAGE.2.55.1</f>
        <v>16/12</v>
      </c>
      <c r="B74" t="str">
        <f>[1]!PAGE.2.55.2</f>
        <v>TRT061228T16</v>
      </c>
      <c r="C74" t="str">
        <f>[1]!PAGE.2.55.11</f>
        <v>TRT061228T16_KESN_T0</v>
      </c>
      <c r="D74">
        <f>[1]!PAGE.2.55.3</f>
        <v>99.649000000000001</v>
      </c>
      <c r="E74" t="str">
        <f>[1]!PAGE.2.55.4</f>
        <v/>
      </c>
      <c r="F74" t="str">
        <f>[1]!PAGE.2.55.5</f>
        <v/>
      </c>
      <c r="G74">
        <f>[1]!PAGE.2.55.6</f>
        <v>51000000</v>
      </c>
      <c r="H74">
        <f>[1]!PAGE.2.55.8</f>
        <v>51145221.920000002</v>
      </c>
      <c r="I74">
        <f>[1]!PAGE.2.55.9</f>
        <v>0.63572925899999999</v>
      </c>
      <c r="J74">
        <f>[1]!PAGE.2.55.10</f>
        <v>100.285</v>
      </c>
      <c r="K74" t="str">
        <f>[1]!PAGE.2.55.7</f>
        <v>13:29:52</v>
      </c>
      <c r="L74" s="1" t="str">
        <f>CONCATENATE("20",MID(B74,8,2))</f>
        <v>2028</v>
      </c>
      <c r="M74" t="str">
        <f>MID(B74,6,2)</f>
        <v>12</v>
      </c>
      <c r="N74" t="str">
        <f>MID(B74,4,2)</f>
        <v>06</v>
      </c>
      <c r="O74" s="1">
        <f>DATE(L74,M74,N74)</f>
        <v>47093</v>
      </c>
    </row>
    <row r="75" spans="1:15" x14ac:dyDescent="0.25">
      <c r="A75" t="str">
        <f>[1]!PAGE.2.46.1</f>
        <v>16/12</v>
      </c>
      <c r="B75" t="str">
        <f>[1]!PAGE.2.46.2</f>
        <v>TRT070329T15</v>
      </c>
      <c r="C75" t="str">
        <f>[1]!PAGE.2.46.11</f>
        <v>TRT070329T15_KESN_T0</v>
      </c>
      <c r="D75">
        <f>[1]!PAGE.2.46.3</f>
        <v>99.5</v>
      </c>
      <c r="E75" t="str">
        <f>[1]!PAGE.2.46.4</f>
        <v/>
      </c>
      <c r="F75" t="str">
        <f>[1]!PAGE.2.46.5</f>
        <v/>
      </c>
      <c r="G75">
        <f>[1]!PAGE.2.46.6</f>
        <v>50000000</v>
      </c>
      <c r="H75">
        <f>[1]!PAGE.2.46.8</f>
        <v>50067864.630000003</v>
      </c>
      <c r="I75">
        <f>[1]!PAGE.2.46.9</f>
        <v>0.63572925899999999</v>
      </c>
      <c r="J75">
        <f>[1]!PAGE.2.46.10</f>
        <v>100.136</v>
      </c>
      <c r="K75" t="str">
        <f>[1]!PAGE.2.46.7</f>
        <v>13:57:45</v>
      </c>
      <c r="L75" s="1" t="str">
        <f>CONCATENATE("20",MID(B75,8,2))</f>
        <v>2029</v>
      </c>
      <c r="M75" t="str">
        <f>MID(B75,6,2)</f>
        <v>03</v>
      </c>
      <c r="N75" t="str">
        <f>MID(B75,4,2)</f>
        <v>07</v>
      </c>
      <c r="O75" s="1">
        <f>DATE(L75,M75,N75)</f>
        <v>47184</v>
      </c>
    </row>
    <row r="76" spans="1:15" x14ac:dyDescent="0.25">
      <c r="A76" t="str">
        <f>[1]!PAGE.2.50.1</f>
        <v>16/12</v>
      </c>
      <c r="B76" t="str">
        <f>[1]!PAGE.2.50.2</f>
        <v>TRT130629T14</v>
      </c>
      <c r="C76" t="str">
        <f>[1]!PAGE.2.50.11</f>
        <v>TRT130629T14_KESN_T0</v>
      </c>
      <c r="D76" t="str">
        <f>[1]!PAGE.2.50.3</f>
        <v/>
      </c>
      <c r="E76" t="str">
        <f>[1]!PAGE.2.50.4</f>
        <v/>
      </c>
      <c r="F76" t="str">
        <f>[1]!PAGE.2.50.5</f>
        <v/>
      </c>
      <c r="G76" t="str">
        <f>[1]!PAGE.2.50.6</f>
        <v/>
      </c>
      <c r="H76" t="str">
        <f>[1]!PAGE.2.50.8</f>
        <v/>
      </c>
      <c r="I76">
        <f>[1]!PAGE.2.50.9</f>
        <v>2.2376373630000002</v>
      </c>
      <c r="J76" t="str">
        <f>[1]!PAGE.2.50.10</f>
        <v/>
      </c>
      <c r="K76" t="str">
        <f>[1]!PAGE.2.50.7</f>
        <v>09:53:19</v>
      </c>
      <c r="L76" s="1" t="str">
        <f>CONCATENATE("20",MID(B76,8,2))</f>
        <v>2029</v>
      </c>
      <c r="M76" t="str">
        <f>MID(B76,6,2)</f>
        <v>06</v>
      </c>
      <c r="N76" t="str">
        <f>MID(B76,4,2)</f>
        <v>13</v>
      </c>
      <c r="O76" s="1">
        <f>DATE(L76,M76,N76)</f>
        <v>47282</v>
      </c>
    </row>
    <row r="77" spans="1:15" hidden="1" x14ac:dyDescent="0.25">
      <c r="A77" t="str">
        <f>[1]!PAGE.2.76.1</f>
        <v>16/12</v>
      </c>
      <c r="B77" t="str">
        <f>[1]!PAGE.2.76.2</f>
        <v>TRFVEST12613</v>
      </c>
      <c r="C77" t="str">
        <f>[1]!PAGE.2.76.11</f>
        <v>TRFVEST12613_KESN_T0</v>
      </c>
      <c r="D77" t="str">
        <f>[1]!PAGE.2.76.3</f>
        <v/>
      </c>
      <c r="E77" t="str">
        <f>[1]!PAGE.2.76.4</f>
        <v/>
      </c>
      <c r="F77" t="str">
        <f>[1]!PAGE.2.76.5</f>
        <v/>
      </c>
      <c r="G77" t="str">
        <f>[1]!PAGE.2.76.6</f>
        <v/>
      </c>
      <c r="H77" t="str">
        <f>[1]!PAGE.2.76.8</f>
        <v/>
      </c>
      <c r="I77">
        <f>[1]!PAGE.2.76.9</f>
        <v>19.142509580999999</v>
      </c>
      <c r="J77" t="str">
        <f>[1]!PAGE.2.76.10</f>
        <v/>
      </c>
      <c r="K77" t="str">
        <f>[1]!PAGE.2.76.7</f>
        <v>10:14:05</v>
      </c>
    </row>
    <row r="78" spans="1:15" x14ac:dyDescent="0.25">
      <c r="A78" t="str">
        <f>[1]!PAGE.2.53.1</f>
        <v>16/12</v>
      </c>
      <c r="B78" t="str">
        <f>[1]!PAGE.2.53.2</f>
        <v>TRT130629T30</v>
      </c>
      <c r="C78" t="str">
        <f>[1]!PAGE.2.53.11</f>
        <v>TRT130629T30_KESN_T0</v>
      </c>
      <c r="D78" t="str">
        <f>[1]!PAGE.2.53.3</f>
        <v/>
      </c>
      <c r="E78" t="str">
        <f>[1]!PAGE.2.53.4</f>
        <v/>
      </c>
      <c r="F78" t="str">
        <f>[1]!PAGE.2.53.5</f>
        <v/>
      </c>
      <c r="G78" t="str">
        <f>[1]!PAGE.2.53.6</f>
        <v/>
      </c>
      <c r="H78" t="str">
        <f>[1]!PAGE.2.53.8</f>
        <v/>
      </c>
      <c r="I78">
        <f>[1]!PAGE.2.53.9</f>
        <v>10.253924092</v>
      </c>
      <c r="J78" t="str">
        <f>[1]!PAGE.2.53.10</f>
        <v/>
      </c>
      <c r="K78" t="str">
        <f>[1]!PAGE.2.53.7</f>
        <v>13:31:18</v>
      </c>
      <c r="L78" s="1" t="str">
        <f>CONCATENATE("20",MID(B78,8,2))</f>
        <v>2029</v>
      </c>
      <c r="M78" t="str">
        <f>MID(B78,6,2)</f>
        <v>06</v>
      </c>
      <c r="N78" t="str">
        <f>MID(B78,4,2)</f>
        <v>13</v>
      </c>
      <c r="O78" s="1">
        <f>DATE(L78,M78,N78)</f>
        <v>47282</v>
      </c>
    </row>
    <row r="79" spans="1:15" hidden="1" x14ac:dyDescent="0.25">
      <c r="A79" t="str">
        <f>[1]!PAGE.2.78.1</f>
        <v>16/12</v>
      </c>
      <c r="B79" t="str">
        <f>[1]!PAGE.2.78.2</f>
        <v>TRFDRDLA2510</v>
      </c>
      <c r="C79" t="str">
        <f>[1]!PAGE.2.78.11</f>
        <v>TRFDRDLA2510_KESN_T0</v>
      </c>
      <c r="D79" t="str">
        <f>[1]!PAGE.2.78.3</f>
        <v/>
      </c>
      <c r="E79" t="str">
        <f>[1]!PAGE.2.78.4</f>
        <v/>
      </c>
      <c r="F79" t="str">
        <f>[1]!PAGE.2.78.5</f>
        <v/>
      </c>
      <c r="G79" t="str">
        <f>[1]!PAGE.2.78.6</f>
        <v/>
      </c>
      <c r="H79" t="str">
        <f>[1]!PAGE.2.78.8</f>
        <v/>
      </c>
      <c r="I79">
        <f>[1]!PAGE.2.78.9</f>
        <v>7.8411733330000004</v>
      </c>
      <c r="J79" t="str">
        <f>[1]!PAGE.2.78.10</f>
        <v/>
      </c>
      <c r="K79" t="str">
        <f>[1]!PAGE.2.78.7</f>
        <v>10:21:10</v>
      </c>
    </row>
    <row r="80" spans="1:15" hidden="1" x14ac:dyDescent="0.25">
      <c r="A80" t="str">
        <f>[1]!PAGE.2.79.1</f>
        <v>16/12</v>
      </c>
      <c r="B80" t="str">
        <f>[1]!PAGE.2.79.2</f>
        <v>TRFGZNMA2514</v>
      </c>
      <c r="C80" t="str">
        <f>[1]!PAGE.2.79.11</f>
        <v>TRFGZNMA2514_KESN_T0</v>
      </c>
      <c r="D80" t="str">
        <f>[1]!PAGE.2.79.3</f>
        <v/>
      </c>
      <c r="E80" t="str">
        <f>[1]!PAGE.2.79.4</f>
        <v/>
      </c>
      <c r="F80" t="str">
        <f>[1]!PAGE.2.79.5</f>
        <v/>
      </c>
      <c r="G80" t="str">
        <f>[1]!PAGE.2.79.6</f>
        <v/>
      </c>
      <c r="H80" t="str">
        <f>[1]!PAGE.2.79.8</f>
        <v/>
      </c>
      <c r="I80" t="str">
        <f>[1]!PAGE.2.79.9</f>
        <v/>
      </c>
      <c r="J80" t="str">
        <f>[1]!PAGE.2.79.10</f>
        <v/>
      </c>
      <c r="K80" t="str">
        <f>[1]!PAGE.2.79.7</f>
        <v>10:21:41</v>
      </c>
    </row>
    <row r="81" spans="1:15" hidden="1" x14ac:dyDescent="0.25">
      <c r="A81" t="str">
        <f>[1]!PAGE.2.80.1</f>
        <v>16/12</v>
      </c>
      <c r="B81" t="str">
        <f>[1]!PAGE.2.80.2</f>
        <v>TRFAKDN12619</v>
      </c>
      <c r="C81" t="str">
        <f>[1]!PAGE.2.80.11</f>
        <v>TRFAKDN12619_KESN_T0</v>
      </c>
      <c r="D81" t="str">
        <f>[1]!PAGE.2.80.3</f>
        <v/>
      </c>
      <c r="E81" t="str">
        <f>[1]!PAGE.2.80.4</f>
        <v/>
      </c>
      <c r="F81" t="str">
        <f>[1]!PAGE.2.80.5</f>
        <v/>
      </c>
      <c r="G81" t="str">
        <f>[1]!PAGE.2.80.6</f>
        <v/>
      </c>
      <c r="H81" t="str">
        <f>[1]!PAGE.2.80.8</f>
        <v/>
      </c>
      <c r="I81" t="str">
        <f>[1]!PAGE.2.80.9</f>
        <v/>
      </c>
      <c r="J81" t="str">
        <f>[1]!PAGE.2.80.10</f>
        <v/>
      </c>
      <c r="K81" t="str">
        <f>[1]!PAGE.2.80.7</f>
        <v>10:17:43</v>
      </c>
    </row>
    <row r="82" spans="1:15" hidden="1" x14ac:dyDescent="0.25">
      <c r="A82" t="str">
        <f>[1]!PAGE.2.81.1</f>
        <v>17/12</v>
      </c>
      <c r="B82" t="str">
        <f>[1]!PAGE.2.81.2</f>
        <v>TRFBORL12613</v>
      </c>
      <c r="C82" t="str">
        <f>[1]!PAGE.2.81.11</f>
        <v>TRFBORL12613_KESN_T1</v>
      </c>
      <c r="D82" t="str">
        <f>[1]!PAGE.2.81.3</f>
        <v/>
      </c>
      <c r="E82" t="str">
        <f>[1]!PAGE.2.81.4</f>
        <v/>
      </c>
      <c r="F82" t="str">
        <f>[1]!PAGE.2.81.5</f>
        <v/>
      </c>
      <c r="G82" t="str">
        <f>[1]!PAGE.2.81.6</f>
        <v/>
      </c>
      <c r="H82" t="str">
        <f>[1]!PAGE.2.81.8</f>
        <v/>
      </c>
      <c r="I82">
        <f>[1]!PAGE.2.81.9</f>
        <v>8.6630505489999994</v>
      </c>
      <c r="J82" t="str">
        <f>[1]!PAGE.2.81.10</f>
        <v/>
      </c>
      <c r="K82" t="str">
        <f>[1]!PAGE.2.81.7</f>
        <v>10:18:01</v>
      </c>
    </row>
    <row r="83" spans="1:15" hidden="1" x14ac:dyDescent="0.25">
      <c r="A83" t="str">
        <f>[1]!PAGE.2.82.1</f>
        <v>16/12</v>
      </c>
      <c r="B83" t="str">
        <f>[1]!PAGE.2.82.2</f>
        <v>TRFTRLC22619</v>
      </c>
      <c r="C83" t="str">
        <f>[1]!PAGE.2.82.11</f>
        <v>TRFTRLC22619_KESN_T0</v>
      </c>
      <c r="D83" t="str">
        <f>[1]!PAGE.2.82.3</f>
        <v/>
      </c>
      <c r="E83" t="str">
        <f>[1]!PAGE.2.82.4</f>
        <v/>
      </c>
      <c r="F83" t="str">
        <f>[1]!PAGE.2.82.5</f>
        <v/>
      </c>
      <c r="G83" t="str">
        <f>[1]!PAGE.2.82.6</f>
        <v/>
      </c>
      <c r="H83" t="str">
        <f>[1]!PAGE.2.82.8</f>
        <v/>
      </c>
      <c r="I83">
        <f>[1]!PAGE.2.82.9</f>
        <v>19.090405713999999</v>
      </c>
      <c r="J83" t="str">
        <f>[1]!PAGE.2.82.10</f>
        <v/>
      </c>
      <c r="K83" t="str">
        <f>[1]!PAGE.2.82.7</f>
        <v>10:31:44</v>
      </c>
    </row>
    <row r="84" spans="1:15" hidden="1" x14ac:dyDescent="0.25">
      <c r="A84" t="str">
        <f>[1]!PAGE.2.83.1</f>
        <v>16/12</v>
      </c>
      <c r="B84" t="str">
        <f>[1]!PAGE.2.83.2</f>
        <v>TRFARSV22614</v>
      </c>
      <c r="C84" t="str">
        <f>[1]!PAGE.2.83.11</f>
        <v>TRFARSV22614_KESN_T0</v>
      </c>
      <c r="D84" t="str">
        <f>[1]!PAGE.2.83.3</f>
        <v/>
      </c>
      <c r="E84" t="str">
        <f>[1]!PAGE.2.83.4</f>
        <v/>
      </c>
      <c r="F84" t="str">
        <f>[1]!PAGE.2.83.5</f>
        <v/>
      </c>
      <c r="G84" t="str">
        <f>[1]!PAGE.2.83.6</f>
        <v/>
      </c>
      <c r="H84" t="str">
        <f>[1]!PAGE.2.83.8</f>
        <v/>
      </c>
      <c r="I84" t="str">
        <f>[1]!PAGE.2.83.9</f>
        <v/>
      </c>
      <c r="J84" t="str">
        <f>[1]!PAGE.2.83.10</f>
        <v/>
      </c>
      <c r="K84" t="str">
        <f>[1]!PAGE.2.83.7</f>
        <v>10:32:45</v>
      </c>
    </row>
    <row r="85" spans="1:15" hidden="1" x14ac:dyDescent="0.25">
      <c r="A85" t="str">
        <f>[1]!PAGE.2.84.1</f>
        <v>16/12</v>
      </c>
      <c r="B85" t="str">
        <f>[1]!PAGE.2.84.2</f>
        <v>TRFQFNS22612</v>
      </c>
      <c r="C85" t="str">
        <f>[1]!PAGE.2.84.11</f>
        <v>TRFQFNS22612_KESN_T0</v>
      </c>
      <c r="D85" t="str">
        <f>[1]!PAGE.2.84.3</f>
        <v/>
      </c>
      <c r="E85" t="str">
        <f>[1]!PAGE.2.84.4</f>
        <v/>
      </c>
      <c r="F85" t="str">
        <f>[1]!PAGE.2.84.5</f>
        <v/>
      </c>
      <c r="G85" t="str">
        <f>[1]!PAGE.2.84.6</f>
        <v/>
      </c>
      <c r="H85" t="str">
        <f>[1]!PAGE.2.84.8</f>
        <v/>
      </c>
      <c r="I85" t="str">
        <f>[1]!PAGE.2.84.9</f>
        <v/>
      </c>
      <c r="J85" t="str">
        <f>[1]!PAGE.2.84.10</f>
        <v/>
      </c>
      <c r="K85" t="str">
        <f>[1]!PAGE.2.84.7</f>
        <v>10:19:35</v>
      </c>
    </row>
    <row r="86" spans="1:15" hidden="1" x14ac:dyDescent="0.25">
      <c r="A86" t="str">
        <f>[1]!PAGE.2.85.1</f>
        <v>16/12</v>
      </c>
      <c r="B86" t="str">
        <f>[1]!PAGE.2.85.2</f>
        <v>TRFDGRV32612</v>
      </c>
      <c r="C86" t="str">
        <f>[1]!PAGE.2.85.11</f>
        <v>TRFDGRV32612_KESN_T0</v>
      </c>
      <c r="D86" t="str">
        <f>[1]!PAGE.2.85.3</f>
        <v/>
      </c>
      <c r="E86" t="str">
        <f>[1]!PAGE.2.85.4</f>
        <v/>
      </c>
      <c r="F86" t="str">
        <f>[1]!PAGE.2.85.5</f>
        <v/>
      </c>
      <c r="G86" t="str">
        <f>[1]!PAGE.2.85.6</f>
        <v/>
      </c>
      <c r="H86" t="str">
        <f>[1]!PAGE.2.85.8</f>
        <v/>
      </c>
      <c r="I86" t="str">
        <f>[1]!PAGE.2.85.9</f>
        <v/>
      </c>
      <c r="J86" t="str">
        <f>[1]!PAGE.2.85.10</f>
        <v/>
      </c>
      <c r="K86" t="str">
        <f>[1]!PAGE.2.85.7</f>
        <v>10:37:17</v>
      </c>
    </row>
    <row r="87" spans="1:15" hidden="1" x14ac:dyDescent="0.25">
      <c r="A87" t="str">
        <f>[1]!PAGE.2.86.1</f>
        <v>16/12</v>
      </c>
      <c r="B87" t="str">
        <f>[1]!PAGE.2.86.2</f>
        <v>TRFAKDN42616</v>
      </c>
      <c r="C87" t="str">
        <f>[1]!PAGE.2.86.11</f>
        <v>TRFAKDN42616_KESN_T0</v>
      </c>
      <c r="D87" t="str">
        <f>[1]!PAGE.2.86.3</f>
        <v/>
      </c>
      <c r="E87" t="str">
        <f>[1]!PAGE.2.86.4</f>
        <v/>
      </c>
      <c r="F87" t="str">
        <f>[1]!PAGE.2.86.5</f>
        <v/>
      </c>
      <c r="G87" t="str">
        <f>[1]!PAGE.2.86.6</f>
        <v/>
      </c>
      <c r="H87" t="str">
        <f>[1]!PAGE.2.86.8</f>
        <v/>
      </c>
      <c r="I87" t="str">
        <f>[1]!PAGE.2.86.9</f>
        <v/>
      </c>
      <c r="J87" t="str">
        <f>[1]!PAGE.2.86.10</f>
        <v/>
      </c>
      <c r="K87" t="str">
        <f>[1]!PAGE.2.86.7</f>
        <v>10:39:18</v>
      </c>
    </row>
    <row r="88" spans="1:15" hidden="1" x14ac:dyDescent="0.25">
      <c r="A88" t="str">
        <f>[1]!PAGE.2.87.1</f>
        <v>16/12</v>
      </c>
      <c r="B88" t="str">
        <f>[1]!PAGE.2.87.2</f>
        <v>TRDZKBV22633</v>
      </c>
      <c r="C88" t="str">
        <f>[1]!PAGE.2.87.11</f>
        <v>TRDZKBV22633_KESN_T0</v>
      </c>
      <c r="D88" t="str">
        <f>[1]!PAGE.2.87.3</f>
        <v/>
      </c>
      <c r="E88" t="str">
        <f>[1]!PAGE.2.87.4</f>
        <v/>
      </c>
      <c r="F88" t="str">
        <f>[1]!PAGE.2.87.5</f>
        <v/>
      </c>
      <c r="G88" t="str">
        <f>[1]!PAGE.2.87.6</f>
        <v/>
      </c>
      <c r="H88" t="str">
        <f>[1]!PAGE.2.87.8</f>
        <v/>
      </c>
      <c r="I88">
        <f>[1]!PAGE.2.87.9</f>
        <v>6.4027407480000003</v>
      </c>
      <c r="J88" t="str">
        <f>[1]!PAGE.2.87.10</f>
        <v/>
      </c>
      <c r="K88" t="str">
        <f>[1]!PAGE.2.87.7</f>
        <v>10:20:45</v>
      </c>
    </row>
    <row r="89" spans="1:15" x14ac:dyDescent="0.25">
      <c r="A89" t="str">
        <f>[1]!PAGE.2.6.1</f>
        <v>16/12</v>
      </c>
      <c r="B89" t="str">
        <f>[1]!PAGE.2.6.2</f>
        <v>TRT040729T14</v>
      </c>
      <c r="C89" t="str">
        <f>[1]!PAGE.2.6.11</f>
        <v>TRT040729T14_KESN_T0</v>
      </c>
      <c r="D89">
        <f>[1]!PAGE.2.6.3</f>
        <v>99.4</v>
      </c>
      <c r="E89" t="str">
        <f>[1]!PAGE.2.6.4</f>
        <v/>
      </c>
      <c r="F89" t="str">
        <f>[1]!PAGE.2.6.5</f>
        <v/>
      </c>
      <c r="G89">
        <f>[1]!PAGE.2.6.6</f>
        <v>2000000</v>
      </c>
      <c r="H89">
        <f>[1]!PAGE.2.6.8</f>
        <v>2392395.6</v>
      </c>
      <c r="I89">
        <f>[1]!PAGE.2.6.9</f>
        <v>20.219780220000001</v>
      </c>
      <c r="J89">
        <f>[1]!PAGE.2.6.10</f>
        <v>119.62</v>
      </c>
      <c r="K89" t="str">
        <f>[1]!PAGE.2.6.7</f>
        <v>13:20:26</v>
      </c>
      <c r="L89" s="1" t="str">
        <f>CONCATENATE("20",MID(B89,8,2))</f>
        <v>2029</v>
      </c>
      <c r="M89" t="str">
        <f>MID(B89,6,2)</f>
        <v>07</v>
      </c>
      <c r="N89" t="str">
        <f>MID(B89,4,2)</f>
        <v>04</v>
      </c>
      <c r="O89" s="1">
        <f>DATE(L89,M89,N89)</f>
        <v>47303</v>
      </c>
    </row>
    <row r="90" spans="1:15" hidden="1" x14ac:dyDescent="0.25">
      <c r="A90" t="str">
        <f>[1]!PAGE.2.89.1</f>
        <v>16/12</v>
      </c>
      <c r="B90" t="str">
        <f>[1]!PAGE.2.89.2</f>
        <v>TRFBORL12639</v>
      </c>
      <c r="C90" t="str">
        <f>[1]!PAGE.2.89.11</f>
        <v>TRFBORL12639_KESN_T0</v>
      </c>
      <c r="D90" t="str">
        <f>[1]!PAGE.2.89.3</f>
        <v/>
      </c>
      <c r="E90" t="str">
        <f>[1]!PAGE.2.89.4</f>
        <v/>
      </c>
      <c r="F90" t="str">
        <f>[1]!PAGE.2.89.5</f>
        <v/>
      </c>
      <c r="G90" t="str">
        <f>[1]!PAGE.2.89.6</f>
        <v/>
      </c>
      <c r="H90" t="str">
        <f>[1]!PAGE.2.89.8</f>
        <v/>
      </c>
      <c r="I90">
        <f>[1]!PAGE.2.89.9</f>
        <v>19.657333333</v>
      </c>
      <c r="J90" t="str">
        <f>[1]!PAGE.2.89.10</f>
        <v/>
      </c>
      <c r="K90" t="str">
        <f>[1]!PAGE.2.89.7</f>
        <v>10:27:40</v>
      </c>
    </row>
    <row r="91" spans="1:15" hidden="1" x14ac:dyDescent="0.25">
      <c r="A91" t="str">
        <f>[1]!PAGE.2.90.1</f>
        <v>17/12</v>
      </c>
      <c r="B91" t="str">
        <f>[1]!PAGE.2.90.2</f>
        <v>TRB170626T13</v>
      </c>
      <c r="C91" t="str">
        <f>[1]!PAGE.2.90.11</f>
        <v>TRB170626T13_KESN_T1</v>
      </c>
      <c r="D91">
        <f>[1]!PAGE.2.90.3</f>
        <v>84.870999999999995</v>
      </c>
      <c r="E91">
        <f>[1]!PAGE.2.90.4</f>
        <v>35.75</v>
      </c>
      <c r="F91">
        <f>[1]!PAGE.2.90.5</f>
        <v>38.950000000000003</v>
      </c>
      <c r="G91">
        <f>[1]!PAGE.2.90.6</f>
        <v>174000000</v>
      </c>
      <c r="H91">
        <f>[1]!PAGE.2.90.8</f>
        <v>147675890.28</v>
      </c>
      <c r="I91" t="str">
        <f>[1]!PAGE.2.90.9</f>
        <v/>
      </c>
      <c r="J91">
        <f>[1]!PAGE.2.90.10</f>
        <v>84.870999999999995</v>
      </c>
      <c r="K91" t="str">
        <f>[1]!PAGE.2.90.7</f>
        <v>14:11:08</v>
      </c>
    </row>
    <row r="92" spans="1:15" hidden="1" x14ac:dyDescent="0.25">
      <c r="A92" t="str">
        <f>[1]!PAGE.2.91.1</f>
        <v>16/12</v>
      </c>
      <c r="B92" t="str">
        <f>[1]!PAGE.2.91.2</f>
        <v>TRD180226T14</v>
      </c>
      <c r="C92" t="str">
        <f>[1]!PAGE.2.91.11</f>
        <v>TRD180226T14_KESN_T0</v>
      </c>
      <c r="D92">
        <f>[1]!PAGE.2.91.3</f>
        <v>5930</v>
      </c>
      <c r="E92" t="str">
        <f>[1]!PAGE.2.91.4</f>
        <v/>
      </c>
      <c r="F92" t="str">
        <f>[1]!PAGE.2.91.5</f>
        <v/>
      </c>
      <c r="G92">
        <f>[1]!PAGE.2.91.6</f>
        <v>5970</v>
      </c>
      <c r="H92">
        <f>[1]!PAGE.2.91.8</f>
        <v>35402100</v>
      </c>
      <c r="I92" t="str">
        <f>[1]!PAGE.2.91.9</f>
        <v/>
      </c>
      <c r="J92">
        <f>[1]!PAGE.2.91.10</f>
        <v>5930</v>
      </c>
      <c r="K92" t="str">
        <f>[1]!PAGE.2.91.7</f>
        <v>12:48:46</v>
      </c>
    </row>
    <row r="93" spans="1:15" hidden="1" x14ac:dyDescent="0.25">
      <c r="A93" t="str">
        <f>[1]!PAGE.2.92.1</f>
        <v>16/12</v>
      </c>
      <c r="B93" t="str">
        <f>[1]!PAGE.2.92.2</f>
        <v>TRD030726T16</v>
      </c>
      <c r="C93" t="str">
        <f>[1]!PAGE.2.92.11</f>
        <v>TRD030726T16_KESN_T0</v>
      </c>
      <c r="D93" t="str">
        <f>[1]!PAGE.2.92.3</f>
        <v/>
      </c>
      <c r="E93" t="str">
        <f>[1]!PAGE.2.92.4</f>
        <v/>
      </c>
      <c r="F93" t="str">
        <f>[1]!PAGE.2.92.5</f>
        <v/>
      </c>
      <c r="G93" t="str">
        <f>[1]!PAGE.2.92.6</f>
        <v/>
      </c>
      <c r="H93" t="str">
        <f>[1]!PAGE.2.92.8</f>
        <v/>
      </c>
      <c r="I93" t="str">
        <f>[1]!PAGE.2.92.9</f>
        <v/>
      </c>
      <c r="J93" t="str">
        <f>[1]!PAGE.2.92.10</f>
        <v/>
      </c>
      <c r="K93" t="str">
        <f>[1]!PAGE.2.92.7</f>
        <v>13:56:15</v>
      </c>
    </row>
    <row r="94" spans="1:15" hidden="1" x14ac:dyDescent="0.25">
      <c r="A94" t="str">
        <f>[1]!PAGE.2.93.1</f>
        <v>16/12</v>
      </c>
      <c r="B94" t="str">
        <f>[1]!PAGE.2.93.2</f>
        <v>TRD260126T15</v>
      </c>
      <c r="C94" t="str">
        <f>[1]!PAGE.2.93.11</f>
        <v>TRD260126T15_KESN_T0</v>
      </c>
      <c r="D94">
        <f>[1]!PAGE.2.93.3</f>
        <v>5930</v>
      </c>
      <c r="E94" t="str">
        <f>[1]!PAGE.2.93.4</f>
        <v/>
      </c>
      <c r="F94" t="str">
        <f>[1]!PAGE.2.93.5</f>
        <v/>
      </c>
      <c r="G94">
        <f>[1]!PAGE.2.93.6</f>
        <v>5970</v>
      </c>
      <c r="H94">
        <f>[1]!PAGE.2.93.8</f>
        <v>35402100</v>
      </c>
      <c r="I94" t="str">
        <f>[1]!PAGE.2.93.9</f>
        <v/>
      </c>
      <c r="J94">
        <f>[1]!PAGE.2.93.10</f>
        <v>5930</v>
      </c>
      <c r="K94" t="str">
        <f>[1]!PAGE.2.93.7</f>
        <v>12:45:43</v>
      </c>
    </row>
    <row r="95" spans="1:15" hidden="1" x14ac:dyDescent="0.25">
      <c r="A95" t="str">
        <f>[1]!PAGE.2.94.1</f>
        <v>16/12</v>
      </c>
      <c r="B95" t="str">
        <f>[1]!PAGE.2.94.2</f>
        <v>TRFDRDL22611</v>
      </c>
      <c r="C95" t="str">
        <f>[1]!PAGE.2.94.11</f>
        <v>TRFDRDL22611_KESN_T0</v>
      </c>
      <c r="D95" t="str">
        <f>[1]!PAGE.2.94.3</f>
        <v/>
      </c>
      <c r="E95" t="str">
        <f>[1]!PAGE.2.94.4</f>
        <v/>
      </c>
      <c r="F95" t="str">
        <f>[1]!PAGE.2.94.5</f>
        <v/>
      </c>
      <c r="G95" t="str">
        <f>[1]!PAGE.2.94.6</f>
        <v/>
      </c>
      <c r="H95" t="str">
        <f>[1]!PAGE.2.94.8</f>
        <v/>
      </c>
      <c r="I95">
        <f>[1]!PAGE.2.94.9</f>
        <v>3.9890414669999998</v>
      </c>
      <c r="J95" t="str">
        <f>[1]!PAGE.2.94.10</f>
        <v/>
      </c>
      <c r="K95" t="str">
        <f>[1]!PAGE.2.94.7</f>
        <v>10:34:55</v>
      </c>
    </row>
    <row r="96" spans="1:15" hidden="1" x14ac:dyDescent="0.25">
      <c r="A96" t="str">
        <f>[1]!PAGE.2.95.1</f>
        <v>16/12</v>
      </c>
      <c r="B96" t="str">
        <f>[1]!PAGE.2.95.2</f>
        <v>TRD150426T31</v>
      </c>
      <c r="C96" t="str">
        <f>[1]!PAGE.2.95.11</f>
        <v>TRD150426T31_KESN_T0</v>
      </c>
      <c r="D96" t="str">
        <f>[1]!PAGE.2.95.3</f>
        <v/>
      </c>
      <c r="E96" t="str">
        <f>[1]!PAGE.2.95.4</f>
        <v/>
      </c>
      <c r="F96" t="str">
        <f>[1]!PAGE.2.95.5</f>
        <v/>
      </c>
      <c r="G96" t="str">
        <f>[1]!PAGE.2.95.6</f>
        <v/>
      </c>
      <c r="H96" t="str">
        <f>[1]!PAGE.2.95.8</f>
        <v/>
      </c>
      <c r="I96" t="str">
        <f>[1]!PAGE.2.95.9</f>
        <v/>
      </c>
      <c r="J96" t="str">
        <f>[1]!PAGE.2.95.10</f>
        <v/>
      </c>
      <c r="K96" t="str">
        <f>[1]!PAGE.2.95.7</f>
        <v>10:38:06</v>
      </c>
    </row>
    <row r="97" spans="1:15" hidden="1" x14ac:dyDescent="0.25">
      <c r="A97" t="str">
        <f>[1]!PAGE.2.96.1</f>
        <v>16/12</v>
      </c>
      <c r="B97" t="str">
        <f>[1]!PAGE.2.96.2</f>
        <v>TRSMBKF32615</v>
      </c>
      <c r="C97" t="str">
        <f>[1]!PAGE.2.96.11</f>
        <v>TRSMBKF32615_KESN_T0</v>
      </c>
      <c r="D97" t="str">
        <f>[1]!PAGE.2.96.3</f>
        <v/>
      </c>
      <c r="E97" t="str">
        <f>[1]!PAGE.2.96.4</f>
        <v/>
      </c>
      <c r="F97" t="str">
        <f>[1]!PAGE.2.96.5</f>
        <v/>
      </c>
      <c r="G97" t="str">
        <f>[1]!PAGE.2.96.6</f>
        <v/>
      </c>
      <c r="H97" t="str">
        <f>[1]!PAGE.2.96.8</f>
        <v/>
      </c>
      <c r="I97">
        <f>[1]!PAGE.2.96.9</f>
        <v>33.632882608999999</v>
      </c>
      <c r="J97" t="str">
        <f>[1]!PAGE.2.96.10</f>
        <v/>
      </c>
      <c r="K97" t="str">
        <f>[1]!PAGE.2.96.7</f>
        <v>10:36:04</v>
      </c>
    </row>
    <row r="98" spans="1:15" hidden="1" x14ac:dyDescent="0.25">
      <c r="A98" t="str">
        <f>[1]!PAGE.2.97.1</f>
        <v>16/12</v>
      </c>
      <c r="B98" t="str">
        <f>[1]!PAGE.2.97.2</f>
        <v>TRD120626T16</v>
      </c>
      <c r="C98" t="str">
        <f>[1]!PAGE.2.97.11</f>
        <v>TRD120626T16_KESN_T0</v>
      </c>
      <c r="D98" t="str">
        <f>[1]!PAGE.2.97.3</f>
        <v/>
      </c>
      <c r="E98" t="str">
        <f>[1]!PAGE.2.97.4</f>
        <v/>
      </c>
      <c r="F98" t="str">
        <f>[1]!PAGE.2.97.5</f>
        <v/>
      </c>
      <c r="G98" t="str">
        <f>[1]!PAGE.2.97.6</f>
        <v/>
      </c>
      <c r="H98" t="str">
        <f>[1]!PAGE.2.97.8</f>
        <v/>
      </c>
      <c r="I98" t="str">
        <f>[1]!PAGE.2.97.9</f>
        <v/>
      </c>
      <c r="J98" t="str">
        <f>[1]!PAGE.2.97.10</f>
        <v/>
      </c>
      <c r="K98" t="str">
        <f>[1]!PAGE.2.97.7</f>
        <v>10:36:10</v>
      </c>
    </row>
    <row r="99" spans="1:15" hidden="1" x14ac:dyDescent="0.25">
      <c r="A99" t="str">
        <f>[1]!PAGE.2.98.1</f>
        <v>16/12</v>
      </c>
      <c r="B99" t="str">
        <f>[1]!PAGE.2.98.2</f>
        <v>TRD071026T17</v>
      </c>
      <c r="C99" t="str">
        <f>[1]!PAGE.2.98.11</f>
        <v>TRD071026T17_KESN_T0</v>
      </c>
      <c r="D99" t="str">
        <f>[1]!PAGE.2.98.3</f>
        <v/>
      </c>
      <c r="E99" t="str">
        <f>[1]!PAGE.2.98.4</f>
        <v/>
      </c>
      <c r="F99" t="str">
        <f>[1]!PAGE.2.98.5</f>
        <v/>
      </c>
      <c r="G99" t="str">
        <f>[1]!PAGE.2.98.6</f>
        <v/>
      </c>
      <c r="H99" t="str">
        <f>[1]!PAGE.2.98.8</f>
        <v/>
      </c>
      <c r="I99" t="str">
        <f>[1]!PAGE.2.98.9</f>
        <v/>
      </c>
      <c r="J99" t="str">
        <f>[1]!PAGE.2.98.10</f>
        <v/>
      </c>
      <c r="K99" t="str">
        <f>[1]!PAGE.2.98.7</f>
        <v>10:36:54</v>
      </c>
    </row>
    <row r="100" spans="1:15" hidden="1" x14ac:dyDescent="0.25">
      <c r="A100" t="str">
        <f>[1]!PAGE.2.99.1</f>
        <v>16/12</v>
      </c>
      <c r="B100" t="str">
        <f>[1]!PAGE.2.99.2</f>
        <v>TRSKCTF42617</v>
      </c>
      <c r="C100" t="str">
        <f>[1]!PAGE.2.99.11</f>
        <v>TRSKCTF42617_KESN_T0</v>
      </c>
      <c r="D100" t="str">
        <f>[1]!PAGE.2.99.3</f>
        <v/>
      </c>
      <c r="E100" t="str">
        <f>[1]!PAGE.2.99.4</f>
        <v/>
      </c>
      <c r="F100" t="str">
        <f>[1]!PAGE.2.99.5</f>
        <v/>
      </c>
      <c r="G100" t="str">
        <f>[1]!PAGE.2.99.6</f>
        <v/>
      </c>
      <c r="H100" t="str">
        <f>[1]!PAGE.2.99.8</f>
        <v/>
      </c>
      <c r="I100">
        <f>[1]!PAGE.2.99.9</f>
        <v>33.090391556999997</v>
      </c>
      <c r="J100" t="str">
        <f>[1]!PAGE.2.99.10</f>
        <v/>
      </c>
      <c r="K100" t="str">
        <f>[1]!PAGE.2.99.7</f>
        <v>11:12:39</v>
      </c>
    </row>
    <row r="101" spans="1:15" hidden="1" x14ac:dyDescent="0.25">
      <c r="A101" t="str">
        <f>[1]!PAGE.2.100.1</f>
        <v>16/12</v>
      </c>
      <c r="B101" t="str">
        <f>[1]!PAGE.2.100.2</f>
        <v>TRFQFNS32611</v>
      </c>
      <c r="C101" t="str">
        <f>[1]!PAGE.2.100.11</f>
        <v>TRFQFNS32611_KESN_T0</v>
      </c>
      <c r="D101" t="str">
        <f>[1]!PAGE.2.100.3</f>
        <v/>
      </c>
      <c r="E101" t="str">
        <f>[1]!PAGE.2.100.4</f>
        <v/>
      </c>
      <c r="F101" t="str">
        <f>[1]!PAGE.2.100.5</f>
        <v/>
      </c>
      <c r="G101" t="str">
        <f>[1]!PAGE.2.100.6</f>
        <v/>
      </c>
      <c r="H101" t="str">
        <f>[1]!PAGE.2.100.8</f>
        <v/>
      </c>
      <c r="I101" t="str">
        <f>[1]!PAGE.2.100.9</f>
        <v/>
      </c>
      <c r="J101" t="str">
        <f>[1]!PAGE.2.100.10</f>
        <v/>
      </c>
      <c r="K101" t="str">
        <f>[1]!PAGE.2.100.7</f>
        <v>10:38:51</v>
      </c>
    </row>
    <row r="102" spans="1:15" hidden="1" x14ac:dyDescent="0.25">
      <c r="A102" t="str">
        <f>[1]!PAGE.2.101.1</f>
        <v>16/12</v>
      </c>
      <c r="B102" t="str">
        <f>[1]!PAGE.2.101.2</f>
        <v>TRFQFNS52619</v>
      </c>
      <c r="C102" t="str">
        <f>[1]!PAGE.2.101.11</f>
        <v>TRFQFNS52619_KESN_T0</v>
      </c>
      <c r="D102" t="str">
        <f>[1]!PAGE.2.101.3</f>
        <v/>
      </c>
      <c r="E102" t="str">
        <f>[1]!PAGE.2.101.4</f>
        <v/>
      </c>
      <c r="F102" t="str">
        <f>[1]!PAGE.2.101.5</f>
        <v/>
      </c>
      <c r="G102" t="str">
        <f>[1]!PAGE.2.101.6</f>
        <v/>
      </c>
      <c r="H102" t="str">
        <f>[1]!PAGE.2.101.8</f>
        <v/>
      </c>
      <c r="I102" t="str">
        <f>[1]!PAGE.2.101.9</f>
        <v/>
      </c>
      <c r="J102" t="str">
        <f>[1]!PAGE.2.101.10</f>
        <v/>
      </c>
      <c r="K102" t="str">
        <f>[1]!PAGE.2.101.7</f>
        <v>10:40:03</v>
      </c>
    </row>
    <row r="103" spans="1:15" hidden="1" x14ac:dyDescent="0.25">
      <c r="A103" t="str">
        <f>[1]!PAGE.2.102.1</f>
        <v>16/12</v>
      </c>
      <c r="B103" t="str">
        <f>[1]!PAGE.2.102.2</f>
        <v>TRFGZNM82618</v>
      </c>
      <c r="C103" t="str">
        <f>[1]!PAGE.2.102.11</f>
        <v>TRFGZNM82618_KESN_T0</v>
      </c>
      <c r="D103" t="str">
        <f>[1]!PAGE.2.102.3</f>
        <v/>
      </c>
      <c r="E103" t="str">
        <f>[1]!PAGE.2.102.4</f>
        <v/>
      </c>
      <c r="F103" t="str">
        <f>[1]!PAGE.2.102.5</f>
        <v/>
      </c>
      <c r="G103" t="str">
        <f>[1]!PAGE.2.102.6</f>
        <v/>
      </c>
      <c r="H103" t="str">
        <f>[1]!PAGE.2.102.8</f>
        <v/>
      </c>
      <c r="I103" t="str">
        <f>[1]!PAGE.2.102.9</f>
        <v/>
      </c>
      <c r="J103" t="str">
        <f>[1]!PAGE.2.102.10</f>
        <v/>
      </c>
      <c r="K103" t="str">
        <f>[1]!PAGE.2.102.7</f>
        <v>10:40:45</v>
      </c>
    </row>
    <row r="104" spans="1:15" hidden="1" x14ac:dyDescent="0.25">
      <c r="A104" t="str">
        <f>[1]!PAGE.2.103.1</f>
        <v>16/12</v>
      </c>
      <c r="B104" t="str">
        <f>[1]!PAGE.2.103.2</f>
        <v>TRFGZNM92617</v>
      </c>
      <c r="C104" t="str">
        <f>[1]!PAGE.2.103.11</f>
        <v>TRFGZNM92617_KESN_T0</v>
      </c>
      <c r="D104" t="str">
        <f>[1]!PAGE.2.103.3</f>
        <v/>
      </c>
      <c r="E104" t="str">
        <f>[1]!PAGE.2.103.4</f>
        <v/>
      </c>
      <c r="F104" t="str">
        <f>[1]!PAGE.2.103.5</f>
        <v/>
      </c>
      <c r="G104" t="str">
        <f>[1]!PAGE.2.103.6</f>
        <v/>
      </c>
      <c r="H104" t="str">
        <f>[1]!PAGE.2.103.8</f>
        <v/>
      </c>
      <c r="I104" t="str">
        <f>[1]!PAGE.2.103.9</f>
        <v/>
      </c>
      <c r="J104" t="str">
        <f>[1]!PAGE.2.103.10</f>
        <v/>
      </c>
      <c r="K104" t="str">
        <f>[1]!PAGE.2.103.7</f>
        <v>10:41:12</v>
      </c>
    </row>
    <row r="105" spans="1:15" hidden="1" x14ac:dyDescent="0.25">
      <c r="A105" t="str">
        <f>[1]!PAGE.2.104.1</f>
        <v>16/12</v>
      </c>
      <c r="B105" t="str">
        <f>[1]!PAGE.2.104.2</f>
        <v>TRFGZNMK2611</v>
      </c>
      <c r="C105" t="str">
        <f>[1]!PAGE.2.104.11</f>
        <v>TRFGZNMK2611_KESN_T0</v>
      </c>
      <c r="D105" t="str">
        <f>[1]!PAGE.2.104.3</f>
        <v/>
      </c>
      <c r="E105" t="str">
        <f>[1]!PAGE.2.104.4</f>
        <v/>
      </c>
      <c r="F105" t="str">
        <f>[1]!PAGE.2.104.5</f>
        <v/>
      </c>
      <c r="G105" t="str">
        <f>[1]!PAGE.2.104.6</f>
        <v/>
      </c>
      <c r="H105" t="str">
        <f>[1]!PAGE.2.104.8</f>
        <v/>
      </c>
      <c r="I105" t="str">
        <f>[1]!PAGE.2.104.9</f>
        <v/>
      </c>
      <c r="J105" t="str">
        <f>[1]!PAGE.2.104.10</f>
        <v/>
      </c>
      <c r="K105" t="str">
        <f>[1]!PAGE.2.104.7</f>
        <v>10:41:49</v>
      </c>
    </row>
    <row r="106" spans="1:15" x14ac:dyDescent="0.25">
      <c r="A106" t="str">
        <f>[1]!PAGE.2.37.1</f>
        <v>16/12</v>
      </c>
      <c r="B106" t="str">
        <f>[1]!PAGE.2.37.2</f>
        <v>TRT120929T12</v>
      </c>
      <c r="C106" t="str">
        <f>[1]!PAGE.2.37.11</f>
        <v>TRT120929T12_KESN_T0</v>
      </c>
      <c r="D106">
        <f>[1]!PAGE.2.37.3</f>
        <v>94.17</v>
      </c>
      <c r="E106">
        <f>[1]!PAGE.2.37.4</f>
        <v>32.67</v>
      </c>
      <c r="F106">
        <f>[1]!PAGE.2.37.5</f>
        <v>35.340000000000003</v>
      </c>
      <c r="G106">
        <f>[1]!PAGE.2.37.6</f>
        <v>327000000</v>
      </c>
      <c r="H106">
        <f>[1]!PAGE.2.37.8</f>
        <v>332191244.5</v>
      </c>
      <c r="I106">
        <f>[1]!PAGE.2.37.9</f>
        <v>7.4175824180000003</v>
      </c>
      <c r="J106">
        <f>[1]!PAGE.2.37.10</f>
        <v>101.58799999999999</v>
      </c>
      <c r="K106" t="str">
        <f>[1]!PAGE.2.37.7</f>
        <v>13:53:32</v>
      </c>
      <c r="L106" s="1" t="str">
        <f>CONCATENATE("20",MID(B106,8,2))</f>
        <v>2029</v>
      </c>
      <c r="M106" t="str">
        <f>MID(B106,6,2)</f>
        <v>09</v>
      </c>
      <c r="N106" t="str">
        <f>MID(B106,4,2)</f>
        <v>12</v>
      </c>
      <c r="O106" s="1">
        <f>DATE(L106,M106,N106)</f>
        <v>47373</v>
      </c>
    </row>
    <row r="107" spans="1:15" x14ac:dyDescent="0.25">
      <c r="A107" t="str">
        <f>[1]!PAGE.2.135.1</f>
        <v>16/12</v>
      </c>
      <c r="B107" t="str">
        <f>[1]!PAGE.2.135.2</f>
        <v>TRT100730T13</v>
      </c>
      <c r="C107" t="str">
        <f>[1]!PAGE.2.135.11</f>
        <v>TRT100730T13_KESN_T0</v>
      </c>
      <c r="D107">
        <f>[1]!PAGE.2.135.3</f>
        <v>103.97499999999999</v>
      </c>
      <c r="E107">
        <f>[1]!PAGE.2.135.4</f>
        <v>32.299999999999997</v>
      </c>
      <c r="F107">
        <f>[1]!PAGE.2.135.5</f>
        <v>34.909999999999997</v>
      </c>
      <c r="G107">
        <f>[1]!PAGE.2.135.6</f>
        <v>20000000</v>
      </c>
      <c r="H107">
        <f>[1]!PAGE.2.135.8</f>
        <v>23661648.350000001</v>
      </c>
      <c r="I107">
        <f>[1]!PAGE.2.135.9</f>
        <v>14.333241758</v>
      </c>
      <c r="J107">
        <f>[1]!PAGE.2.135.10</f>
        <v>118.30800000000001</v>
      </c>
      <c r="K107" t="str">
        <f>[1]!PAGE.2.135.7</f>
        <v>13:38:25</v>
      </c>
      <c r="L107" s="1" t="str">
        <f>CONCATENATE("20",MID(B107,8,2))</f>
        <v>2030</v>
      </c>
      <c r="M107" t="str">
        <f>MID(B107,6,2)</f>
        <v>07</v>
      </c>
      <c r="N107" t="str">
        <f>MID(B107,4,2)</f>
        <v>10</v>
      </c>
      <c r="O107" s="1">
        <f>DATE(L107,M107,N107)</f>
        <v>47674</v>
      </c>
    </row>
    <row r="108" spans="1:15" hidden="1" x14ac:dyDescent="0.25">
      <c r="A108" t="str">
        <f>[1]!PAGE.2.107.1</f>
        <v>17/12</v>
      </c>
      <c r="B108" t="str">
        <f>[1]!PAGE.2.107.2</f>
        <v>TRT100332T15</v>
      </c>
      <c r="C108" t="str">
        <f>[1]!PAGE.2.107.11</f>
        <v>TRT100332T15_KESN_T1</v>
      </c>
      <c r="D108" t="str">
        <f>[1]!PAGE.2.107.3</f>
        <v/>
      </c>
      <c r="E108" t="str">
        <f>[1]!PAGE.2.107.4</f>
        <v/>
      </c>
      <c r="F108" t="str">
        <f>[1]!PAGE.2.107.5</f>
        <v/>
      </c>
      <c r="G108" t="str">
        <f>[1]!PAGE.2.107.6</f>
        <v/>
      </c>
      <c r="H108" t="str">
        <f>[1]!PAGE.2.107.8</f>
        <v/>
      </c>
      <c r="I108">
        <f>[1]!PAGE.2.107.9</f>
        <v>9.4700000000000006</v>
      </c>
      <c r="J108" t="str">
        <f>[1]!PAGE.2.107.10</f>
        <v/>
      </c>
      <c r="K108" t="str">
        <f>[1]!PAGE.2.107.7</f>
        <v>11:15:23</v>
      </c>
    </row>
    <row r="109" spans="1:15" hidden="1" x14ac:dyDescent="0.25">
      <c r="A109" t="str">
        <f>[1]!PAGE.2.108.1</f>
        <v>16/12</v>
      </c>
      <c r="B109" t="str">
        <f>[1]!PAGE.2.108.2</f>
        <v>TRDHVKAA2565</v>
      </c>
      <c r="C109" t="str">
        <f>[1]!PAGE.2.108.11</f>
        <v>TRDHVKAA2565_KESN_T0</v>
      </c>
      <c r="D109" t="str">
        <f>[1]!PAGE.2.108.3</f>
        <v/>
      </c>
      <c r="E109" t="str">
        <f>[1]!PAGE.2.108.4</f>
        <v/>
      </c>
      <c r="F109" t="str">
        <f>[1]!PAGE.2.108.5</f>
        <v/>
      </c>
      <c r="G109" t="str">
        <f>[1]!PAGE.2.108.6</f>
        <v/>
      </c>
      <c r="H109" t="str">
        <f>[1]!PAGE.2.108.8</f>
        <v/>
      </c>
      <c r="I109">
        <f>[1]!PAGE.2.108.9</f>
        <v>8.8684952750000008</v>
      </c>
      <c r="J109" t="str">
        <f>[1]!PAGE.2.108.10</f>
        <v/>
      </c>
      <c r="K109" t="str">
        <f>[1]!PAGE.2.108.7</f>
        <v>11:15:23</v>
      </c>
    </row>
    <row r="110" spans="1:15" hidden="1" x14ac:dyDescent="0.25">
      <c r="A110" t="str">
        <f>[1]!PAGE.2.109.1</f>
        <v>17/12</v>
      </c>
      <c r="B110" t="str">
        <f>[1]!PAGE.2.109.2</f>
        <v>TRT210826F11</v>
      </c>
      <c r="C110" t="str">
        <f>[1]!PAGE.2.109.11</f>
        <v>TRT210826F11_KESN_T1</v>
      </c>
      <c r="D110" t="str">
        <f>[1]!PAGE.2.109.3</f>
        <v/>
      </c>
      <c r="E110" t="str">
        <f>[1]!PAGE.2.109.4</f>
        <v/>
      </c>
      <c r="F110" t="str">
        <f>[1]!PAGE.2.109.5</f>
        <v/>
      </c>
      <c r="G110" t="str">
        <f>[1]!PAGE.2.109.6</f>
        <v/>
      </c>
      <c r="H110" t="str">
        <f>[1]!PAGE.2.109.8</f>
        <v/>
      </c>
      <c r="I110">
        <f>[1]!PAGE.2.109.9</f>
        <v>1.542857143</v>
      </c>
      <c r="J110" t="str">
        <f>[1]!PAGE.2.109.10</f>
        <v/>
      </c>
      <c r="K110" t="str">
        <f>[1]!PAGE.2.109.7</f>
        <v>12:27:19</v>
      </c>
    </row>
    <row r="111" spans="1:15" hidden="1" x14ac:dyDescent="0.25">
      <c r="A111" t="str">
        <f>[1]!PAGE.2.110.1</f>
        <v>16/12</v>
      </c>
      <c r="B111" t="str">
        <f>[1]!PAGE.2.110.2</f>
        <v>TRSZORN52617</v>
      </c>
      <c r="C111" t="str">
        <f>[1]!PAGE.2.110.11</f>
        <v>TRSZORN52617_KESN_T0</v>
      </c>
      <c r="D111" t="str">
        <f>[1]!PAGE.2.110.3</f>
        <v/>
      </c>
      <c r="E111" t="str">
        <f>[1]!PAGE.2.110.4</f>
        <v/>
      </c>
      <c r="F111" t="str">
        <f>[1]!PAGE.2.110.5</f>
        <v/>
      </c>
      <c r="G111" t="str">
        <f>[1]!PAGE.2.110.6</f>
        <v/>
      </c>
      <c r="H111" t="str">
        <f>[1]!PAGE.2.110.8</f>
        <v/>
      </c>
      <c r="I111">
        <f>[1]!PAGE.2.110.9</f>
        <v>0.71234482799999999</v>
      </c>
      <c r="J111" t="str">
        <f>[1]!PAGE.2.110.10</f>
        <v/>
      </c>
      <c r="K111" t="str">
        <f>[1]!PAGE.2.110.7</f>
        <v>11:18:21</v>
      </c>
    </row>
    <row r="112" spans="1:15" hidden="1" x14ac:dyDescent="0.25">
      <c r="A112" t="str">
        <f>[1]!PAGE.2.111.1</f>
        <v>16/12</v>
      </c>
      <c r="B112" t="str">
        <f>[1]!PAGE.2.111.2</f>
        <v>TRFIAZY42610</v>
      </c>
      <c r="C112" t="str">
        <f>[1]!PAGE.2.111.11</f>
        <v>TRFIAZY42610_KESN_T0</v>
      </c>
      <c r="D112" t="str">
        <f>[1]!PAGE.2.111.3</f>
        <v/>
      </c>
      <c r="E112" t="str">
        <f>[1]!PAGE.2.111.4</f>
        <v/>
      </c>
      <c r="F112" t="str">
        <f>[1]!PAGE.2.111.5</f>
        <v/>
      </c>
      <c r="G112" t="str">
        <f>[1]!PAGE.2.111.6</f>
        <v/>
      </c>
      <c r="H112" t="str">
        <f>[1]!PAGE.2.111.8</f>
        <v/>
      </c>
      <c r="I112">
        <f>[1]!PAGE.2.111.9</f>
        <v>4.0292207790000001</v>
      </c>
      <c r="J112" t="str">
        <f>[1]!PAGE.2.111.10</f>
        <v/>
      </c>
      <c r="K112" t="str">
        <f>[1]!PAGE.2.111.7</f>
        <v>11:21:04</v>
      </c>
    </row>
    <row r="113" spans="1:15" x14ac:dyDescent="0.25">
      <c r="A113" t="str">
        <f>[1]!PAGE.2.44.1</f>
        <v>16/12</v>
      </c>
      <c r="B113" t="str">
        <f>[1]!PAGE.2.44.2</f>
        <v>TRT021030T18</v>
      </c>
      <c r="C113" t="str">
        <f>[1]!PAGE.2.44.11</f>
        <v>TRT021030T18_KESN_T0</v>
      </c>
      <c r="D113">
        <f>[1]!PAGE.2.44.3</f>
        <v>103.85599999999999</v>
      </c>
      <c r="E113">
        <f>[1]!PAGE.2.44.4</f>
        <v>32.15</v>
      </c>
      <c r="F113">
        <f>[1]!PAGE.2.44.5</f>
        <v>34.729999999999997</v>
      </c>
      <c r="G113">
        <f>[1]!PAGE.2.44.6</f>
        <v>116000000</v>
      </c>
      <c r="H113">
        <f>[1]!PAGE.2.44.8</f>
        <v>127927774.73</v>
      </c>
      <c r="I113">
        <f>[1]!PAGE.2.44.9</f>
        <v>6.4260989009999996</v>
      </c>
      <c r="J113">
        <f>[1]!PAGE.2.44.10</f>
        <v>110.282</v>
      </c>
      <c r="K113" t="str">
        <f>[1]!PAGE.2.44.7</f>
        <v>13:44:30</v>
      </c>
      <c r="L113" s="1" t="str">
        <f>CONCATENATE("20",MID(B113,8,2))</f>
        <v>2030</v>
      </c>
      <c r="M113" t="str">
        <f>MID(B113,6,2)</f>
        <v>10</v>
      </c>
      <c r="N113" t="str">
        <f>MID(B113,4,2)</f>
        <v>02</v>
      </c>
      <c r="O113" s="1">
        <f>DATE(L113,M113,N113)</f>
        <v>47758</v>
      </c>
    </row>
    <row r="114" spans="1:15" hidden="1" x14ac:dyDescent="0.25">
      <c r="A114" t="str">
        <f>[1]!PAGE.2.113.1</f>
        <v>17/12</v>
      </c>
      <c r="B114" t="str">
        <f>[1]!PAGE.2.113.2</f>
        <v>TRT190128T14</v>
      </c>
      <c r="C114" t="str">
        <f>[1]!PAGE.2.113.11</f>
        <v>TRT190128T14_KESN_T1</v>
      </c>
      <c r="D114" t="str">
        <f>[1]!PAGE.2.113.3</f>
        <v/>
      </c>
      <c r="E114" t="str">
        <f>[1]!PAGE.2.113.4</f>
        <v/>
      </c>
      <c r="F114" t="str">
        <f>[1]!PAGE.2.113.5</f>
        <v/>
      </c>
      <c r="G114" t="str">
        <f>[1]!PAGE.2.113.6</f>
        <v/>
      </c>
      <c r="H114" t="str">
        <f>[1]!PAGE.2.113.8</f>
        <v/>
      </c>
      <c r="I114">
        <f>[1]!PAGE.2.113.9</f>
        <v>6.1998445560000004</v>
      </c>
      <c r="J114" t="str">
        <f>[1]!PAGE.2.113.10</f>
        <v/>
      </c>
      <c r="K114" t="str">
        <f>[1]!PAGE.2.113.7</f>
        <v>11:23:51</v>
      </c>
    </row>
    <row r="115" spans="1:15" hidden="1" x14ac:dyDescent="0.25">
      <c r="A115" t="str">
        <f>[1]!PAGE.2.114.1</f>
        <v>17/12</v>
      </c>
      <c r="B115" t="str">
        <f>[1]!PAGE.2.114.2</f>
        <v>TRT061228T16</v>
      </c>
      <c r="C115" t="str">
        <f>[1]!PAGE.2.114.11</f>
        <v>TRT061228T16_KESN_T1</v>
      </c>
      <c r="D115">
        <f>[1]!PAGE.2.114.3</f>
        <v>99.65</v>
      </c>
      <c r="E115" t="str">
        <f>[1]!PAGE.2.114.4</f>
        <v/>
      </c>
      <c r="F115" t="str">
        <f>[1]!PAGE.2.114.5</f>
        <v/>
      </c>
      <c r="G115">
        <f>[1]!PAGE.2.114.6</f>
        <v>25000000</v>
      </c>
      <c r="H115">
        <f>[1]!PAGE.2.114.8</f>
        <v>25097448.710000001</v>
      </c>
      <c r="I115">
        <f>[1]!PAGE.2.114.9</f>
        <v>0.73979482500000004</v>
      </c>
      <c r="J115">
        <f>[1]!PAGE.2.114.10</f>
        <v>100.39</v>
      </c>
      <c r="K115" t="str">
        <f>[1]!PAGE.2.114.7</f>
        <v>13:47:27</v>
      </c>
    </row>
    <row r="116" spans="1:15" hidden="1" x14ac:dyDescent="0.25">
      <c r="A116" t="str">
        <f>[1]!PAGE.2.115.1</f>
        <v>19/12</v>
      </c>
      <c r="B116" t="str">
        <f>[1]!PAGE.2.115.2</f>
        <v>TRFTCMD22617</v>
      </c>
      <c r="C116" t="str">
        <f>[1]!PAGE.2.115.11</f>
        <v>TRFTCMD22617_KESN_191225</v>
      </c>
      <c r="D116" t="str">
        <f>[1]!PAGE.2.115.3</f>
        <v/>
      </c>
      <c r="E116" t="str">
        <f>[1]!PAGE.2.115.4</f>
        <v/>
      </c>
      <c r="F116" t="str">
        <f>[1]!PAGE.2.115.5</f>
        <v/>
      </c>
      <c r="G116" t="str">
        <f>[1]!PAGE.2.115.6</f>
        <v/>
      </c>
      <c r="H116" t="str">
        <f>[1]!PAGE.2.115.8</f>
        <v/>
      </c>
      <c r="I116" t="str">
        <f>[1]!PAGE.2.115.9</f>
        <v/>
      </c>
      <c r="J116" t="str">
        <f>[1]!PAGE.2.115.10</f>
        <v/>
      </c>
      <c r="K116" t="str">
        <f>[1]!PAGE.2.115.7</f>
        <v>11:49:50</v>
      </c>
    </row>
    <row r="117" spans="1:15" hidden="1" x14ac:dyDescent="0.25">
      <c r="A117" t="str">
        <f>[1]!PAGE.2.116.1</f>
        <v>17/12</v>
      </c>
      <c r="B117" t="str">
        <f>[1]!PAGE.2.116.2</f>
        <v>TRT130733T17</v>
      </c>
      <c r="C117" t="str">
        <f>[1]!PAGE.2.116.11</f>
        <v>TRT130733T17_KESN_T1</v>
      </c>
      <c r="D117">
        <f>[1]!PAGE.2.116.3</f>
        <v>66.55</v>
      </c>
      <c r="E117">
        <f>[1]!PAGE.2.116.4</f>
        <v>28.85</v>
      </c>
      <c r="F117">
        <f>[1]!PAGE.2.116.5</f>
        <v>30.93</v>
      </c>
      <c r="G117">
        <f>[1]!PAGE.2.116.6</f>
        <v>31000000</v>
      </c>
      <c r="H117">
        <f>[1]!PAGE.2.116.8</f>
        <v>22858923.079999998</v>
      </c>
      <c r="I117">
        <f>[1]!PAGE.2.116.9</f>
        <v>7.1884615380000003</v>
      </c>
      <c r="J117">
        <f>[1]!PAGE.2.116.10</f>
        <v>73.738</v>
      </c>
      <c r="K117" t="str">
        <f>[1]!PAGE.2.116.7</f>
        <v>14:09:31</v>
      </c>
    </row>
    <row r="118" spans="1:15" hidden="1" x14ac:dyDescent="0.25">
      <c r="A118" t="str">
        <f>[1]!PAGE.2.117.1</f>
        <v>16/12</v>
      </c>
      <c r="B118" t="str">
        <f>[1]!PAGE.2.117.2</f>
        <v>TRDEVKS22665</v>
      </c>
      <c r="C118" t="str">
        <f>[1]!PAGE.2.117.11</f>
        <v>TRDEVKS22665_KESN_T0</v>
      </c>
      <c r="D118" t="str">
        <f>[1]!PAGE.2.117.3</f>
        <v/>
      </c>
      <c r="E118" t="str">
        <f>[1]!PAGE.2.117.4</f>
        <v/>
      </c>
      <c r="F118" t="str">
        <f>[1]!PAGE.2.117.5</f>
        <v/>
      </c>
      <c r="G118" t="str">
        <f>[1]!PAGE.2.117.6</f>
        <v/>
      </c>
      <c r="H118" t="str">
        <f>[1]!PAGE.2.117.8</f>
        <v/>
      </c>
      <c r="I118">
        <f>[1]!PAGE.2.117.9</f>
        <v>2.8109589800000001</v>
      </c>
      <c r="J118" t="str">
        <f>[1]!PAGE.2.117.10</f>
        <v/>
      </c>
      <c r="K118" t="str">
        <f>[1]!PAGE.2.117.7</f>
        <v>11:36:45</v>
      </c>
    </row>
    <row r="119" spans="1:15" hidden="1" x14ac:dyDescent="0.25">
      <c r="A119" t="str">
        <f>[1]!PAGE.2.118.1</f>
        <v>16/12</v>
      </c>
      <c r="B119" t="str">
        <f>[1]!PAGE.2.118.2</f>
        <v>TRFYKYM22640</v>
      </c>
      <c r="C119" t="str">
        <f>[1]!PAGE.2.118.11</f>
        <v>TRFYKYM22640_KESN_T0</v>
      </c>
      <c r="D119" t="str">
        <f>[1]!PAGE.2.118.3</f>
        <v/>
      </c>
      <c r="E119" t="str">
        <f>[1]!PAGE.2.118.4</f>
        <v/>
      </c>
      <c r="F119" t="str">
        <f>[1]!PAGE.2.118.5</f>
        <v/>
      </c>
      <c r="G119" t="str">
        <f>[1]!PAGE.2.118.6</f>
        <v/>
      </c>
      <c r="H119" t="str">
        <f>[1]!PAGE.2.118.8</f>
        <v/>
      </c>
      <c r="I119" t="str">
        <f>[1]!PAGE.2.118.9</f>
        <v/>
      </c>
      <c r="J119" t="str">
        <f>[1]!PAGE.2.118.10</f>
        <v/>
      </c>
      <c r="K119" t="str">
        <f>[1]!PAGE.2.118.7</f>
        <v>11:39:48</v>
      </c>
    </row>
    <row r="120" spans="1:15" hidden="1" x14ac:dyDescent="0.25">
      <c r="A120" t="str">
        <f>[1]!PAGE.2.119.1</f>
        <v>16/12</v>
      </c>
      <c r="B120" t="str">
        <f>[1]!PAGE.2.119.2</f>
        <v>TRFTCMD12626</v>
      </c>
      <c r="C120" t="str">
        <f>[1]!PAGE.2.119.11</f>
        <v>TRFTCMD12626_KESN_T0</v>
      </c>
      <c r="D120" t="str">
        <f>[1]!PAGE.2.119.3</f>
        <v/>
      </c>
      <c r="E120" t="str">
        <f>[1]!PAGE.2.119.4</f>
        <v/>
      </c>
      <c r="F120" t="str">
        <f>[1]!PAGE.2.119.5</f>
        <v/>
      </c>
      <c r="G120" t="str">
        <f>[1]!PAGE.2.119.6</f>
        <v/>
      </c>
      <c r="H120" t="str">
        <f>[1]!PAGE.2.119.8</f>
        <v/>
      </c>
      <c r="I120" t="str">
        <f>[1]!PAGE.2.119.9</f>
        <v/>
      </c>
      <c r="J120" t="str">
        <f>[1]!PAGE.2.119.10</f>
        <v/>
      </c>
      <c r="K120" t="str">
        <f>[1]!PAGE.2.119.7</f>
        <v>11:42:10</v>
      </c>
    </row>
    <row r="121" spans="1:15" hidden="1" x14ac:dyDescent="0.25">
      <c r="A121" t="str">
        <f>[1]!PAGE.2.120.1</f>
        <v>19/12</v>
      </c>
      <c r="B121" t="str">
        <f>[1]!PAGE.2.120.2</f>
        <v>TRFTCMD12626</v>
      </c>
      <c r="C121" t="str">
        <f>[1]!PAGE.2.120.11</f>
        <v>TRFTCMD12626_KESN_191225</v>
      </c>
      <c r="D121" t="str">
        <f>[1]!PAGE.2.120.3</f>
        <v/>
      </c>
      <c r="E121" t="str">
        <f>[1]!PAGE.2.120.4</f>
        <v/>
      </c>
      <c r="F121" t="str">
        <f>[1]!PAGE.2.120.5</f>
        <v/>
      </c>
      <c r="G121" t="str">
        <f>[1]!PAGE.2.120.6</f>
        <v/>
      </c>
      <c r="H121" t="str">
        <f>[1]!PAGE.2.120.8</f>
        <v/>
      </c>
      <c r="I121" t="str">
        <f>[1]!PAGE.2.120.9</f>
        <v/>
      </c>
      <c r="J121" t="str">
        <f>[1]!PAGE.2.120.10</f>
        <v/>
      </c>
      <c r="K121" t="str">
        <f>[1]!PAGE.2.120.7</f>
        <v>11:43:52</v>
      </c>
    </row>
    <row r="122" spans="1:15" hidden="1" x14ac:dyDescent="0.25">
      <c r="A122" t="str">
        <f>[1]!PAGE.2.121.1</f>
        <v>16/12</v>
      </c>
      <c r="B122" t="str">
        <f>[1]!PAGE.2.121.2</f>
        <v>TRFTCMD22617</v>
      </c>
      <c r="C122" t="str">
        <f>[1]!PAGE.2.121.11</f>
        <v>TRFTCMD22617_KESN_T0</v>
      </c>
      <c r="D122" t="str">
        <f>[1]!PAGE.2.121.3</f>
        <v/>
      </c>
      <c r="E122" t="str">
        <f>[1]!PAGE.2.121.4</f>
        <v/>
      </c>
      <c r="F122" t="str">
        <f>[1]!PAGE.2.121.5</f>
        <v/>
      </c>
      <c r="G122" t="str">
        <f>[1]!PAGE.2.121.6</f>
        <v/>
      </c>
      <c r="H122" t="str">
        <f>[1]!PAGE.2.121.8</f>
        <v/>
      </c>
      <c r="I122">
        <f>[1]!PAGE.2.121.9</f>
        <v>2.4712285710000002</v>
      </c>
      <c r="J122" t="str">
        <f>[1]!PAGE.2.121.10</f>
        <v/>
      </c>
      <c r="K122" t="str">
        <f>[1]!PAGE.2.121.7</f>
        <v>11:47:36</v>
      </c>
    </row>
    <row r="123" spans="1:15" hidden="1" x14ac:dyDescent="0.25">
      <c r="A123" t="str">
        <f>[1]!PAGE.2.122.1</f>
        <v>17/12</v>
      </c>
      <c r="B123" t="str">
        <f>[1]!PAGE.2.122.2</f>
        <v>TRFNURL22622</v>
      </c>
      <c r="C123" t="str">
        <f>[1]!PAGE.2.122.11</f>
        <v>TRFNURL22622_KESN_T1</v>
      </c>
      <c r="D123">
        <f>[1]!PAGE.2.122.3</f>
        <v>94.085999999999999</v>
      </c>
      <c r="E123">
        <f>[1]!PAGE.2.122.4</f>
        <v>40.25</v>
      </c>
      <c r="F123">
        <f>[1]!PAGE.2.122.5</f>
        <v>47.75</v>
      </c>
      <c r="G123">
        <f>[1]!PAGE.2.122.6</f>
        <v>150000000</v>
      </c>
      <c r="H123">
        <f>[1]!PAGE.2.122.8</f>
        <v>141129162.18000001</v>
      </c>
      <c r="I123" t="str">
        <f>[1]!PAGE.2.122.9</f>
        <v/>
      </c>
      <c r="J123">
        <f>[1]!PAGE.2.122.10</f>
        <v>94.085999999999999</v>
      </c>
      <c r="K123" t="str">
        <f>[1]!PAGE.2.122.7</f>
        <v>14:14:19</v>
      </c>
    </row>
    <row r="124" spans="1:15" hidden="1" x14ac:dyDescent="0.25">
      <c r="A124" t="str">
        <f>[1]!PAGE.2.123.1</f>
        <v>17/12</v>
      </c>
      <c r="B124" t="str">
        <f>[1]!PAGE.2.123.2</f>
        <v>TRT191127F19</v>
      </c>
      <c r="C124" t="str">
        <f>[1]!PAGE.2.123.11</f>
        <v>TRT191127F19_KESN_T1</v>
      </c>
      <c r="D124" t="str">
        <f>[1]!PAGE.2.123.3</f>
        <v/>
      </c>
      <c r="E124" t="str">
        <f>[1]!PAGE.2.123.4</f>
        <v/>
      </c>
      <c r="F124" t="str">
        <f>[1]!PAGE.2.123.5</f>
        <v/>
      </c>
      <c r="G124" t="str">
        <f>[1]!PAGE.2.123.6</f>
        <v/>
      </c>
      <c r="H124" t="str">
        <f>[1]!PAGE.2.123.8</f>
        <v/>
      </c>
      <c r="I124">
        <f>[1]!PAGE.2.123.9</f>
        <v>0.3</v>
      </c>
      <c r="J124" t="str">
        <f>[1]!PAGE.2.123.10</f>
        <v/>
      </c>
      <c r="K124" t="str">
        <f>[1]!PAGE.2.123.7</f>
        <v>11:52:33</v>
      </c>
    </row>
    <row r="125" spans="1:15" hidden="1" x14ac:dyDescent="0.25">
      <c r="A125" t="str">
        <f>[1]!PAGE.2.124.1</f>
        <v>16/12</v>
      </c>
      <c r="B125" t="str">
        <f>[1]!PAGE.2.124.2</f>
        <v>TRD150426T49</v>
      </c>
      <c r="C125" t="str">
        <f>[1]!PAGE.2.124.11</f>
        <v>TRD150426T49_KESN_T0</v>
      </c>
      <c r="D125" t="str">
        <f>[1]!PAGE.2.124.3</f>
        <v/>
      </c>
      <c r="E125" t="str">
        <f>[1]!PAGE.2.124.4</f>
        <v/>
      </c>
      <c r="F125" t="str">
        <f>[1]!PAGE.2.124.5</f>
        <v/>
      </c>
      <c r="G125" t="str">
        <f>[1]!PAGE.2.124.6</f>
        <v/>
      </c>
      <c r="H125" t="str">
        <f>[1]!PAGE.2.124.8</f>
        <v/>
      </c>
      <c r="I125">
        <f>[1]!PAGE.2.124.9</f>
        <v>6.8915384619999998</v>
      </c>
      <c r="J125" t="str">
        <f>[1]!PAGE.2.124.10</f>
        <v/>
      </c>
      <c r="K125" t="str">
        <f>[1]!PAGE.2.124.7</f>
        <v>12:35:21</v>
      </c>
    </row>
    <row r="126" spans="1:15" x14ac:dyDescent="0.25">
      <c r="A126" t="str">
        <f>[1]!PAGE.2.106.1</f>
        <v>16/12</v>
      </c>
      <c r="B126" t="str">
        <f>[1]!PAGE.2.106.2</f>
        <v>TRT130733T17</v>
      </c>
      <c r="C126" t="str">
        <f>[1]!PAGE.2.106.11</f>
        <v>TRT130733T17_KESN_T0</v>
      </c>
      <c r="D126">
        <f>[1]!PAGE.2.106.3</f>
        <v>66.5</v>
      </c>
      <c r="E126">
        <f>[1]!PAGE.2.106.4</f>
        <v>28.87</v>
      </c>
      <c r="F126">
        <f>[1]!PAGE.2.106.5</f>
        <v>30.95</v>
      </c>
      <c r="G126">
        <f>[1]!PAGE.2.106.6</f>
        <v>5000000</v>
      </c>
      <c r="H126">
        <f>[1]!PAGE.2.106.8</f>
        <v>3681978.02</v>
      </c>
      <c r="I126">
        <f>[1]!PAGE.2.106.9</f>
        <v>7.1395604400000003</v>
      </c>
      <c r="J126">
        <f>[1]!PAGE.2.106.10</f>
        <v>73.64</v>
      </c>
      <c r="K126" t="str">
        <f>[1]!PAGE.2.106.7</f>
        <v>13:34:09</v>
      </c>
      <c r="L126" s="1" t="str">
        <f>CONCATENATE("20",MID(B126,8,2))</f>
        <v>2033</v>
      </c>
      <c r="M126" t="str">
        <f>MID(B126,6,2)</f>
        <v>07</v>
      </c>
      <c r="N126" t="str">
        <f>MID(B126,4,2)</f>
        <v>13</v>
      </c>
      <c r="O126" s="1">
        <f>DATE(L126,M126,N126)</f>
        <v>48773</v>
      </c>
    </row>
    <row r="127" spans="1:15" hidden="1" x14ac:dyDescent="0.25">
      <c r="A127" t="str">
        <f>[1]!PAGE.2.126.1</f>
        <v>16/12</v>
      </c>
      <c r="B127" t="str">
        <f>[1]!PAGE.2.126.2</f>
        <v>TRDZKBV42623</v>
      </c>
      <c r="C127" t="str">
        <f>[1]!PAGE.2.126.11</f>
        <v>TRDZKBV42623_KESN_T0</v>
      </c>
      <c r="D127">
        <f>[1]!PAGE.2.126.3</f>
        <v>99.915000000000006</v>
      </c>
      <c r="E127">
        <f>[1]!PAGE.2.126.4</f>
        <v>41.7</v>
      </c>
      <c r="F127">
        <f>[1]!PAGE.2.126.5</f>
        <v>48.2</v>
      </c>
      <c r="G127">
        <f>[1]!PAGE.2.126.6</f>
        <v>18000000</v>
      </c>
      <c r="H127">
        <f>[1]!PAGE.2.126.8</f>
        <v>18253960.300000001</v>
      </c>
      <c r="I127">
        <f>[1]!PAGE.2.126.9</f>
        <v>1.4958905</v>
      </c>
      <c r="J127">
        <f>[1]!PAGE.2.126.10</f>
        <v>101.411</v>
      </c>
      <c r="K127" t="str">
        <f>[1]!PAGE.2.126.7</f>
        <v>12:12:37</v>
      </c>
    </row>
    <row r="128" spans="1:15" hidden="1" x14ac:dyDescent="0.25">
      <c r="A128" t="str">
        <f>[1]!PAGE.2.127.1</f>
        <v>17/12</v>
      </c>
      <c r="B128" t="str">
        <f>[1]!PAGE.2.127.2</f>
        <v>TRT150927T11</v>
      </c>
      <c r="C128" t="str">
        <f>[1]!PAGE.2.127.11</f>
        <v>TRT150927T11_KESN_T1</v>
      </c>
      <c r="D128" t="str">
        <f>[1]!PAGE.2.127.3</f>
        <v/>
      </c>
      <c r="E128" t="str">
        <f>[1]!PAGE.2.127.4</f>
        <v/>
      </c>
      <c r="F128" t="str">
        <f>[1]!PAGE.2.127.5</f>
        <v/>
      </c>
      <c r="G128" t="str">
        <f>[1]!PAGE.2.127.6</f>
        <v/>
      </c>
      <c r="H128" t="str">
        <f>[1]!PAGE.2.127.8</f>
        <v/>
      </c>
      <c r="I128">
        <f>[1]!PAGE.2.127.9</f>
        <v>2.57</v>
      </c>
      <c r="J128" t="str">
        <f>[1]!PAGE.2.127.10</f>
        <v/>
      </c>
      <c r="K128" t="str">
        <f>[1]!PAGE.2.127.7</f>
        <v>12:28:42</v>
      </c>
    </row>
    <row r="129" spans="1:15" hidden="1" x14ac:dyDescent="0.25">
      <c r="A129" t="str">
        <f>[1]!PAGE.2.128.1</f>
        <v>17/12</v>
      </c>
      <c r="B129" t="str">
        <f>[1]!PAGE.2.128.2</f>
        <v>TRT160228T16</v>
      </c>
      <c r="C129" t="str">
        <f>[1]!PAGE.2.128.11</f>
        <v>TRT160228T16_KESN_T1</v>
      </c>
      <c r="D129" t="str">
        <f>[1]!PAGE.2.128.3</f>
        <v/>
      </c>
      <c r="E129" t="str">
        <f>[1]!PAGE.2.128.4</f>
        <v/>
      </c>
      <c r="F129" t="str">
        <f>[1]!PAGE.2.128.5</f>
        <v/>
      </c>
      <c r="G129" t="str">
        <f>[1]!PAGE.2.128.6</f>
        <v/>
      </c>
      <c r="H129" t="str">
        <f>[1]!PAGE.2.128.8</f>
        <v/>
      </c>
      <c r="I129">
        <f>[1]!PAGE.2.128.9</f>
        <v>2.9750000000000001</v>
      </c>
      <c r="J129" t="str">
        <f>[1]!PAGE.2.128.10</f>
        <v/>
      </c>
      <c r="K129" t="str">
        <f>[1]!PAGE.2.128.7</f>
        <v>12:28:58</v>
      </c>
    </row>
    <row r="130" spans="1:15" hidden="1" x14ac:dyDescent="0.25">
      <c r="A130" t="str">
        <f>[1]!PAGE.2.129.1</f>
        <v>17/12</v>
      </c>
      <c r="B130" t="str">
        <f>[1]!PAGE.2.129.2</f>
        <v>TRT090627T12</v>
      </c>
      <c r="C130" t="str">
        <f>[1]!PAGE.2.129.11</f>
        <v>TRT090627T12_KESN_T1</v>
      </c>
      <c r="D130" t="str">
        <f>[1]!PAGE.2.129.3</f>
        <v/>
      </c>
      <c r="E130" t="str">
        <f>[1]!PAGE.2.129.4</f>
        <v/>
      </c>
      <c r="F130" t="str">
        <f>[1]!PAGE.2.129.5</f>
        <v/>
      </c>
      <c r="G130" t="str">
        <f>[1]!PAGE.2.129.6</f>
        <v/>
      </c>
      <c r="H130" t="str">
        <f>[1]!PAGE.2.129.8</f>
        <v/>
      </c>
      <c r="I130">
        <f>[1]!PAGE.2.129.9</f>
        <v>0.388461538</v>
      </c>
      <c r="J130" t="str">
        <f>[1]!PAGE.2.129.10</f>
        <v/>
      </c>
      <c r="K130" t="str">
        <f>[1]!PAGE.2.129.7</f>
        <v>12:50:46</v>
      </c>
    </row>
    <row r="131" spans="1:15" hidden="1" x14ac:dyDescent="0.25">
      <c r="A131" t="str">
        <f>[1]!PAGE.2.130.1</f>
        <v>16/12</v>
      </c>
      <c r="B131" t="str">
        <f>[1]!PAGE.2.130.2</f>
        <v>TRFSRMDE2617</v>
      </c>
      <c r="C131" t="str">
        <f>[1]!PAGE.2.130.11</f>
        <v>TRFSRMDE2617_KESN_T0</v>
      </c>
      <c r="D131" t="str">
        <f>[1]!PAGE.2.130.3</f>
        <v/>
      </c>
      <c r="E131" t="str">
        <f>[1]!PAGE.2.130.4</f>
        <v/>
      </c>
      <c r="F131" t="str">
        <f>[1]!PAGE.2.130.5</f>
        <v/>
      </c>
      <c r="G131" t="str">
        <f>[1]!PAGE.2.130.6</f>
        <v/>
      </c>
      <c r="H131" t="str">
        <f>[1]!PAGE.2.130.8</f>
        <v/>
      </c>
      <c r="I131" t="str">
        <f>[1]!PAGE.2.130.9</f>
        <v/>
      </c>
      <c r="J131" t="str">
        <f>[1]!PAGE.2.130.10</f>
        <v/>
      </c>
      <c r="K131" t="str">
        <f>[1]!PAGE.2.130.7</f>
        <v>12:40:04</v>
      </c>
    </row>
    <row r="132" spans="1:15" hidden="1" x14ac:dyDescent="0.25">
      <c r="A132" t="str">
        <f>[1]!PAGE.2.131.1</f>
        <v>16/12</v>
      </c>
      <c r="B132" t="str">
        <f>[1]!PAGE.2.131.2</f>
        <v>TRFAKAD32614</v>
      </c>
      <c r="C132" t="str">
        <f>[1]!PAGE.2.131.11</f>
        <v>TRFAKAD32614_KESN_T0</v>
      </c>
      <c r="D132" t="str">
        <f>[1]!PAGE.2.131.3</f>
        <v/>
      </c>
      <c r="E132" t="str">
        <f>[1]!PAGE.2.131.4</f>
        <v/>
      </c>
      <c r="F132" t="str">
        <f>[1]!PAGE.2.131.5</f>
        <v/>
      </c>
      <c r="G132" t="str">
        <f>[1]!PAGE.2.131.6</f>
        <v/>
      </c>
      <c r="H132" t="str">
        <f>[1]!PAGE.2.131.8</f>
        <v/>
      </c>
      <c r="I132" t="str">
        <f>[1]!PAGE.2.131.9</f>
        <v/>
      </c>
      <c r="J132" t="str">
        <f>[1]!PAGE.2.131.10</f>
        <v/>
      </c>
      <c r="K132" t="str">
        <f>[1]!PAGE.2.131.7</f>
        <v>12:42:33</v>
      </c>
    </row>
    <row r="133" spans="1:15" x14ac:dyDescent="0.25">
      <c r="A133" t="str">
        <f>[1]!PAGE.2.88.1</f>
        <v>16/12</v>
      </c>
      <c r="B133" t="str">
        <f>[1]!PAGE.2.88.2</f>
        <v>TRT051033T12</v>
      </c>
      <c r="C133" t="str">
        <f>[1]!PAGE.2.88.11</f>
        <v>TRT051033T12_KESN_T0</v>
      </c>
      <c r="D133" t="str">
        <f>[1]!PAGE.2.88.3</f>
        <v/>
      </c>
      <c r="E133" t="str">
        <f>[1]!PAGE.2.88.4</f>
        <v/>
      </c>
      <c r="F133" t="str">
        <f>[1]!PAGE.2.88.5</f>
        <v/>
      </c>
      <c r="G133" t="str">
        <f>[1]!PAGE.2.88.6</f>
        <v/>
      </c>
      <c r="H133" t="str">
        <f>[1]!PAGE.2.88.8</f>
        <v/>
      </c>
      <c r="I133">
        <f>[1]!PAGE.2.88.9</f>
        <v>4.4626373629999998</v>
      </c>
      <c r="J133" t="str">
        <f>[1]!PAGE.2.88.10</f>
        <v/>
      </c>
      <c r="K133" t="str">
        <f>[1]!PAGE.2.88.7</f>
        <v>13:21:52</v>
      </c>
      <c r="L133" s="1" t="str">
        <f>CONCATENATE("20",MID(B133,8,2))</f>
        <v>2033</v>
      </c>
      <c r="M133" t="str">
        <f>MID(B133,6,2)</f>
        <v>10</v>
      </c>
      <c r="N133" t="str">
        <f>MID(B133,4,2)</f>
        <v>05</v>
      </c>
      <c r="O133" s="1">
        <f>DATE(L133,M133,N133)</f>
        <v>48857</v>
      </c>
    </row>
    <row r="134" spans="1:15" hidden="1" x14ac:dyDescent="0.25">
      <c r="A134" t="str">
        <f>[1]!PAGE.2.133.1</f>
        <v>16/12</v>
      </c>
      <c r="B134" t="str">
        <f>[1]!PAGE.2.133.2</f>
        <v>TRD170129T13</v>
      </c>
      <c r="C134" t="str">
        <f>[1]!PAGE.2.133.11</f>
        <v>TRD170129T13_KESN_T0</v>
      </c>
      <c r="D134">
        <f>[1]!PAGE.2.133.3</f>
        <v>94.463999999999999</v>
      </c>
      <c r="E134">
        <f>[1]!PAGE.2.133.4</f>
        <v>31.52</v>
      </c>
      <c r="F134">
        <f>[1]!PAGE.2.133.5</f>
        <v>34</v>
      </c>
      <c r="G134">
        <f>[1]!PAGE.2.133.6</f>
        <v>10000</v>
      </c>
      <c r="H134">
        <f>[1]!PAGE.2.133.8</f>
        <v>10596.75</v>
      </c>
      <c r="I134">
        <f>[1]!PAGE.2.133.9</f>
        <v>11.503516484</v>
      </c>
      <c r="J134">
        <f>[1]!PAGE.2.133.10</f>
        <v>105.968</v>
      </c>
      <c r="K134" t="str">
        <f>[1]!PAGE.2.133.7</f>
        <v>12:50:04</v>
      </c>
    </row>
    <row r="135" spans="1:15" hidden="1" x14ac:dyDescent="0.25">
      <c r="A135" t="str">
        <f>[1]!PAGE.2.134.1</f>
        <v>17/12</v>
      </c>
      <c r="B135" t="str">
        <f>[1]!PAGE.2.134.2</f>
        <v>TRT040729T14</v>
      </c>
      <c r="C135" t="str">
        <f>[1]!PAGE.2.134.11</f>
        <v>TRT040729T14_KESN_T1</v>
      </c>
      <c r="D135" t="str">
        <f>[1]!PAGE.2.134.3</f>
        <v/>
      </c>
      <c r="E135" t="str">
        <f>[1]!PAGE.2.134.4</f>
        <v/>
      </c>
      <c r="F135" t="str">
        <f>[1]!PAGE.2.134.5</f>
        <v/>
      </c>
      <c r="G135" t="str">
        <f>[1]!PAGE.2.134.6</f>
        <v/>
      </c>
      <c r="H135" t="str">
        <f>[1]!PAGE.2.134.8</f>
        <v/>
      </c>
      <c r="I135">
        <f>[1]!PAGE.2.134.9</f>
        <v>20.346153846</v>
      </c>
      <c r="J135" t="str">
        <f>[1]!PAGE.2.134.10</f>
        <v/>
      </c>
      <c r="K135" t="str">
        <f>[1]!PAGE.2.134.7</f>
        <v>13:01:53</v>
      </c>
    </row>
    <row r="136" spans="1:15" x14ac:dyDescent="0.25">
      <c r="A136" t="str">
        <f>[1]!PAGE.2.4.1</f>
        <v>16/12</v>
      </c>
      <c r="B136" t="str">
        <f>[1]!PAGE.2.4.2</f>
        <v>TRT270934T18</v>
      </c>
      <c r="C136" t="str">
        <f>[1]!PAGE.2.4.11</f>
        <v>TRT270934T18_KESN_T0</v>
      </c>
      <c r="D136">
        <f>[1]!PAGE.2.4.3</f>
        <v>96.162000000000006</v>
      </c>
      <c r="E136">
        <f>[1]!PAGE.2.4.4</f>
        <v>28.85</v>
      </c>
      <c r="F136">
        <f>[1]!PAGE.2.4.5</f>
        <v>30.93</v>
      </c>
      <c r="G136">
        <f>[1]!PAGE.2.4.6</f>
        <v>26000000</v>
      </c>
      <c r="H136">
        <f>[1]!PAGE.2.4.8</f>
        <v>26367214.280000001</v>
      </c>
      <c r="I136">
        <f>[1]!PAGE.2.4.9</f>
        <v>5.2508241760000001</v>
      </c>
      <c r="J136">
        <f>[1]!PAGE.2.4.10</f>
        <v>101.413</v>
      </c>
      <c r="K136" t="str">
        <f>[1]!PAGE.2.4.7</f>
        <v>13:42:52</v>
      </c>
      <c r="L136" s="1" t="str">
        <f>CONCATENATE("20",MID(B136,8,2))</f>
        <v>2034</v>
      </c>
      <c r="M136" t="str">
        <f>MID(B136,6,2)</f>
        <v>09</v>
      </c>
      <c r="N136" t="str">
        <f>MID(B136,4,2)</f>
        <v>27</v>
      </c>
      <c r="O136" s="1">
        <f>DATE(L136,M136,N136)</f>
        <v>49214</v>
      </c>
    </row>
    <row r="137" spans="1:15" hidden="1" x14ac:dyDescent="0.25">
      <c r="A137" t="str">
        <f>[1]!PAGE.2.136.1</f>
        <v>17/12</v>
      </c>
      <c r="B137" t="str">
        <f>[1]!PAGE.2.136.2</f>
        <v>TRT110930T10</v>
      </c>
      <c r="C137" t="str">
        <f>[1]!PAGE.2.136.11</f>
        <v>TRT110930T10_KESN_T1</v>
      </c>
      <c r="D137" t="str">
        <f>[1]!PAGE.2.136.3</f>
        <v/>
      </c>
      <c r="E137" t="str">
        <f>[1]!PAGE.2.136.4</f>
        <v/>
      </c>
      <c r="F137" t="str">
        <f>[1]!PAGE.2.136.5</f>
        <v/>
      </c>
      <c r="G137" t="str">
        <f>[1]!PAGE.2.136.6</f>
        <v/>
      </c>
      <c r="H137" t="str">
        <f>[1]!PAGE.2.136.8</f>
        <v/>
      </c>
      <c r="I137">
        <f>[1]!PAGE.2.136.9</f>
        <v>1.53</v>
      </c>
      <c r="J137" t="str">
        <f>[1]!PAGE.2.136.10</f>
        <v/>
      </c>
      <c r="K137" t="str">
        <f>[1]!PAGE.2.136.7</f>
        <v>13:10:25</v>
      </c>
    </row>
    <row r="138" spans="1:15" x14ac:dyDescent="0.25">
      <c r="A138" t="str">
        <f>[1]!PAGE.2.132.1</f>
        <v>16/12</v>
      </c>
      <c r="B138" t="str">
        <f>[1]!PAGE.2.132.2</f>
        <v>TRT050935T13</v>
      </c>
      <c r="C138" t="str">
        <f>[1]!PAGE.2.132.11</f>
        <v>TRT050935T13_KESN_T0</v>
      </c>
      <c r="D138">
        <f>[1]!PAGE.2.132.3</f>
        <v>104.05200000000001</v>
      </c>
      <c r="E138">
        <f>[1]!PAGE.2.132.4</f>
        <v>28.72</v>
      </c>
      <c r="F138">
        <f>[1]!PAGE.2.132.5</f>
        <v>30.78</v>
      </c>
      <c r="G138">
        <f>[1]!PAGE.2.132.6</f>
        <v>21000000</v>
      </c>
      <c r="H138">
        <f>[1]!PAGE.2.132.8</f>
        <v>23411807.699999999</v>
      </c>
      <c r="I138">
        <f>[1]!PAGE.2.132.9</f>
        <v>7.4324175820000002</v>
      </c>
      <c r="J138">
        <f>[1]!PAGE.2.132.10</f>
        <v>111.48399999999999</v>
      </c>
      <c r="K138" t="str">
        <f>[1]!PAGE.2.132.7</f>
        <v>13:43:01</v>
      </c>
      <c r="L138" s="1" t="str">
        <f>CONCATENATE("20",MID(B138,8,2))</f>
        <v>2035</v>
      </c>
      <c r="M138" t="str">
        <f>MID(B138,6,2)</f>
        <v>09</v>
      </c>
      <c r="N138" t="str">
        <f>MID(B138,4,2)</f>
        <v>05</v>
      </c>
      <c r="O138" s="1">
        <f>DATE(L138,M138,N138)</f>
        <v>49557</v>
      </c>
    </row>
    <row r="139" spans="1:15" hidden="1" x14ac:dyDescent="0.25">
      <c r="A139" t="str">
        <f>[1]!PAGE.2.138.1</f>
        <v>16/12</v>
      </c>
      <c r="B139" t="str">
        <f>[1]!PAGE.2.138.2</f>
        <v>TRFPTUN12620</v>
      </c>
      <c r="C139" t="str">
        <f>[1]!PAGE.2.138.11</f>
        <v>TRFPTUN12620_KESN_T0</v>
      </c>
      <c r="D139" t="str">
        <f>[1]!PAGE.2.138.3</f>
        <v/>
      </c>
      <c r="E139" t="str">
        <f>[1]!PAGE.2.138.4</f>
        <v/>
      </c>
      <c r="F139" t="str">
        <f>[1]!PAGE.2.138.5</f>
        <v/>
      </c>
      <c r="G139" t="str">
        <f>[1]!PAGE.2.138.6</f>
        <v/>
      </c>
      <c r="H139" t="str">
        <f>[1]!PAGE.2.138.8</f>
        <v/>
      </c>
      <c r="I139">
        <f>[1]!PAGE.2.138.9</f>
        <v>10.48766797</v>
      </c>
      <c r="J139" t="str">
        <f>[1]!PAGE.2.138.10</f>
        <v/>
      </c>
      <c r="K139" t="str">
        <f>[1]!PAGE.2.138.7</f>
        <v>13:18:55</v>
      </c>
    </row>
    <row r="140" spans="1:15" hidden="1" x14ac:dyDescent="0.25">
      <c r="A140" t="str">
        <f>[1]!PAGE.2.139.1</f>
        <v>16/12</v>
      </c>
      <c r="B140" t="str">
        <f>[1]!PAGE.2.139.2</f>
        <v>TRSCARFE2612</v>
      </c>
      <c r="C140" t="str">
        <f>[1]!PAGE.2.139.11</f>
        <v>TRSCARFE2612_KESN_T0</v>
      </c>
      <c r="D140" t="str">
        <f>[1]!PAGE.2.139.3</f>
        <v/>
      </c>
      <c r="E140" t="str">
        <f>[1]!PAGE.2.139.4</f>
        <v/>
      </c>
      <c r="F140" t="str">
        <f>[1]!PAGE.2.139.5</f>
        <v/>
      </c>
      <c r="G140" t="str">
        <f>[1]!PAGE.2.139.6</f>
        <v/>
      </c>
      <c r="H140" t="str">
        <f>[1]!PAGE.2.139.8</f>
        <v/>
      </c>
      <c r="I140" t="str">
        <f>[1]!PAGE.2.139.9</f>
        <v/>
      </c>
      <c r="J140" t="str">
        <f>[1]!PAGE.2.139.10</f>
        <v/>
      </c>
      <c r="K140" t="str">
        <f>[1]!PAGE.2.139.7</f>
        <v>13:23:07</v>
      </c>
    </row>
    <row r="141" spans="1:15" hidden="1" x14ac:dyDescent="0.25">
      <c r="A141" t="str">
        <f>[1]!PAGE.2.140.1</f>
        <v>16/12</v>
      </c>
      <c r="B141" t="str">
        <f>[1]!PAGE.2.140.2</f>
        <v>TRDZKVKA2538</v>
      </c>
      <c r="C141" t="str">
        <f>[1]!PAGE.2.140.11</f>
        <v>TRDZKVKA2538_KESN_T0</v>
      </c>
      <c r="D141" t="str">
        <f>[1]!PAGE.2.140.3</f>
        <v/>
      </c>
      <c r="E141" t="str">
        <f>[1]!PAGE.2.140.4</f>
        <v/>
      </c>
      <c r="F141" t="str">
        <f>[1]!PAGE.2.140.5</f>
        <v/>
      </c>
      <c r="G141" t="str">
        <f>[1]!PAGE.2.140.6</f>
        <v/>
      </c>
      <c r="H141" t="str">
        <f>[1]!PAGE.2.140.8</f>
        <v/>
      </c>
      <c r="I141">
        <f>[1]!PAGE.2.140.9</f>
        <v>9.5095857729999995</v>
      </c>
      <c r="J141" t="str">
        <f>[1]!PAGE.2.140.10</f>
        <v/>
      </c>
      <c r="K141" t="str">
        <f>[1]!PAGE.2.140.7</f>
        <v>13:28:55</v>
      </c>
    </row>
    <row r="142" spans="1:15" hidden="1" x14ac:dyDescent="0.25">
      <c r="A142" t="str">
        <f>[1]!PAGE.2.141.1</f>
        <v>16/12</v>
      </c>
      <c r="B142" t="str">
        <f>[1]!PAGE.2.141.2</f>
        <v>TRD060526T15</v>
      </c>
      <c r="C142" t="str">
        <f>[1]!PAGE.2.141.11</f>
        <v>TRD060526T15_KESN_T0</v>
      </c>
      <c r="D142">
        <f>[1]!PAGE.2.141.3</f>
        <v>101.65</v>
      </c>
      <c r="E142">
        <f>[1]!PAGE.2.141.4</f>
        <v>34.58</v>
      </c>
      <c r="F142">
        <f>[1]!PAGE.2.141.5</f>
        <v>38.340000000000003</v>
      </c>
      <c r="G142">
        <f>[1]!PAGE.2.141.6</f>
        <v>400000</v>
      </c>
      <c r="H142">
        <f>[1]!PAGE.2.141.8</f>
        <v>425027.47</v>
      </c>
      <c r="I142">
        <f>[1]!PAGE.2.141.9</f>
        <v>4.6068681319999998</v>
      </c>
      <c r="J142">
        <f>[1]!PAGE.2.141.10</f>
        <v>106.25700000000001</v>
      </c>
      <c r="K142" t="str">
        <f>[1]!PAGE.2.141.7</f>
        <v>13:48:45</v>
      </c>
    </row>
  </sheetData>
  <autoFilter ref="A1:K142" xr:uid="{516EC6D8-3280-4042-896C-695D7D59894A}">
    <filterColumn colId="1">
      <customFilters>
        <customFilter val="trt*"/>
        <customFilter val="trb*"/>
      </customFilters>
    </filterColumn>
    <filterColumn colId="2">
      <filters>
        <filter val="TRB110326T12_KESN_T0"/>
        <filter val="TRB170626T13_KESN_T0"/>
        <filter val="TRT010328T12_KESN_T0"/>
        <filter val="TRT020926T17_KESN_T0"/>
        <filter val="TRT021030T18_KESN_T0"/>
        <filter val="TRT030726T18_KESN_T0"/>
        <filter val="TRT040729T14_KESN_T0"/>
        <filter val="TRT050527T33_KESN_T0"/>
        <filter val="TRT050935T13_KESN_T0"/>
        <filter val="TRT051033T12_KESN_T0"/>
        <filter val="TRT060928T11_KESN_T0"/>
        <filter val="TRT061228T16_KESN_T0"/>
        <filter val="TRT070329T15_KESN_T0"/>
        <filter val="TRT080426T16_KESN_T0"/>
        <filter val="TRT081128T15_KESN_T0"/>
        <filter val="TRT100227T13_KESN_T0"/>
        <filter val="TRT100730T13_KESN_T0"/>
        <filter val="TRT110226T13_KESN_T0"/>
        <filter val="TRT120626T18_KESN_T0"/>
        <filter val="TRT120826T16_KESN_T0"/>
        <filter val="TRT120929T12_KESN_T0"/>
        <filter val="TRT130629T14_KESN_T0"/>
        <filter val="TRT130629T30_KESN_T0"/>
        <filter val="TRT130733T17_KESN_T0"/>
        <filter val="TRT131027T10_KESN_T0"/>
        <filter val="TRT131027T36_KESN_T0"/>
        <filter val="TRT140126T11_KESN_T0"/>
        <filter val="TRT140727T14_KESN_T0"/>
        <filter val="TRT160627T13_KESN_T0"/>
        <filter val="TRT170528T12_KESN_T0"/>
        <filter val="TRT180226T16_KESN_T0"/>
        <filter val="TRT190128T14_KESN_T0"/>
        <filter val="TRT190728T18_KESN_T0"/>
        <filter val="TRT190728T34_KESN_T0"/>
        <filter val="TRT270934T18_KESN_T0"/>
      </filters>
    </filterColumn>
    <sortState ref="A3:K138">
      <sortCondition ref="B1:B142"/>
    </sortState>
  </autoFilter>
  <sortState ref="A3:O138">
    <sortCondition ref="O2:O1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F7A4-9DC0-4D09-9A26-3F8A34DEF0C5}">
  <dimension ref="A1:O36"/>
  <sheetViews>
    <sheetView workbookViewId="0">
      <selection activeCell="J10" activeCellId="1" sqref="B10 J10"/>
    </sheetView>
  </sheetViews>
  <sheetFormatPr defaultRowHeight="15" x14ac:dyDescent="0.25"/>
  <cols>
    <col min="1" max="1" width="5.85546875" bestFit="1" customWidth="1"/>
    <col min="2" max="2" width="13.42578125" bestFit="1" customWidth="1"/>
    <col min="3" max="3" width="22.28515625" bestFit="1" customWidth="1"/>
    <col min="4" max="4" width="8" bestFit="1" customWidth="1"/>
    <col min="5" max="6" width="6" bestFit="1" customWidth="1"/>
    <col min="7" max="7" width="11" bestFit="1" customWidth="1"/>
    <col min="8" max="9" width="12" bestFit="1" customWidth="1"/>
    <col min="10" max="10" width="8" bestFit="1" customWidth="1"/>
    <col min="11" max="11" width="12.42578125" customWidth="1"/>
    <col min="12" max="12" width="6.28515625" customWidth="1"/>
    <col min="13" max="13" width="4.5703125" bestFit="1" customWidth="1"/>
    <col min="14" max="14" width="4.140625" bestFit="1" customWidth="1"/>
    <col min="15" max="15" width="10.7109375" style="1" bestFit="1" customWidth="1"/>
  </cols>
  <sheetData>
    <row r="1" spans="1:15" x14ac:dyDescent="0.25">
      <c r="A1" t="s">
        <v>13</v>
      </c>
      <c r="B1" t="s">
        <v>12</v>
      </c>
      <c r="C1" t="s">
        <v>14</v>
      </c>
      <c r="D1" t="s">
        <v>15</v>
      </c>
      <c r="I1" t="s">
        <v>17</v>
      </c>
      <c r="J1" t="s">
        <v>16</v>
      </c>
      <c r="L1" t="s">
        <v>18</v>
      </c>
      <c r="M1" t="s">
        <v>19</v>
      </c>
      <c r="N1" t="s">
        <v>20</v>
      </c>
      <c r="O1" s="1" t="s">
        <v>21</v>
      </c>
    </row>
    <row r="2" spans="1:15" x14ac:dyDescent="0.25">
      <c r="A2" t="s">
        <v>22</v>
      </c>
      <c r="B2" t="s">
        <v>123</v>
      </c>
      <c r="C2" t="s">
        <v>124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>
        <v>1.13489011</v>
      </c>
      <c r="J2" t="s">
        <v>25</v>
      </c>
      <c r="K2" t="s">
        <v>125</v>
      </c>
      <c r="L2" t="s">
        <v>27</v>
      </c>
      <c r="M2" t="s">
        <v>39</v>
      </c>
      <c r="N2" t="s">
        <v>126</v>
      </c>
      <c r="O2" s="1">
        <v>46036</v>
      </c>
    </row>
    <row r="3" spans="1:15" x14ac:dyDescent="0.25">
      <c r="A3" t="s">
        <v>22</v>
      </c>
      <c r="B3" t="s">
        <v>95</v>
      </c>
      <c r="C3" t="s">
        <v>96</v>
      </c>
      <c r="D3">
        <v>96.375</v>
      </c>
      <c r="E3">
        <v>33.840000000000003</v>
      </c>
      <c r="F3">
        <v>39.06</v>
      </c>
      <c r="G3">
        <v>48000000</v>
      </c>
      <c r="H3">
        <v>48007252.75</v>
      </c>
      <c r="I3">
        <v>3.6401098900000002</v>
      </c>
      <c r="J3">
        <v>100.015</v>
      </c>
      <c r="K3" t="s">
        <v>97</v>
      </c>
      <c r="L3" t="s">
        <v>27</v>
      </c>
      <c r="M3" t="s">
        <v>44</v>
      </c>
      <c r="N3" t="s">
        <v>29</v>
      </c>
      <c r="O3" s="1">
        <v>46064</v>
      </c>
    </row>
    <row r="4" spans="1:15" x14ac:dyDescent="0.25">
      <c r="A4" t="s">
        <v>22</v>
      </c>
      <c r="B4" t="s">
        <v>137</v>
      </c>
      <c r="C4" t="s">
        <v>138</v>
      </c>
      <c r="D4">
        <v>99.998000000000005</v>
      </c>
      <c r="E4">
        <v>33.14</v>
      </c>
      <c r="F4">
        <v>38.01</v>
      </c>
      <c r="G4">
        <v>131000000</v>
      </c>
      <c r="H4">
        <v>146709802.18000001</v>
      </c>
      <c r="I4">
        <v>11.994505495</v>
      </c>
      <c r="J4">
        <v>111.99299999999999</v>
      </c>
      <c r="K4" t="s">
        <v>139</v>
      </c>
      <c r="L4" t="s">
        <v>27</v>
      </c>
      <c r="M4" t="s">
        <v>44</v>
      </c>
      <c r="N4" t="s">
        <v>140</v>
      </c>
      <c r="O4" s="1">
        <v>46071</v>
      </c>
    </row>
    <row r="5" spans="1:15" x14ac:dyDescent="0.25">
      <c r="A5" t="s">
        <v>22</v>
      </c>
      <c r="B5" t="s">
        <v>23</v>
      </c>
      <c r="C5" t="s">
        <v>24</v>
      </c>
      <c r="D5">
        <v>92.769000000000005</v>
      </c>
      <c r="E5">
        <v>33.47</v>
      </c>
      <c r="F5">
        <v>38.03</v>
      </c>
      <c r="G5">
        <v>29000000</v>
      </c>
      <c r="H5">
        <v>26903131.699999999</v>
      </c>
      <c r="I5" t="s">
        <v>25</v>
      </c>
      <c r="J5">
        <v>92.769000000000005</v>
      </c>
      <c r="K5" t="s">
        <v>26</v>
      </c>
      <c r="L5" t="s">
        <v>27</v>
      </c>
      <c r="M5" t="s">
        <v>28</v>
      </c>
      <c r="N5" t="s">
        <v>29</v>
      </c>
      <c r="O5" s="1">
        <v>46092</v>
      </c>
    </row>
    <row r="6" spans="1:15" x14ac:dyDescent="0.25">
      <c r="A6" t="s">
        <v>22</v>
      </c>
      <c r="B6" t="s">
        <v>82</v>
      </c>
      <c r="C6" t="s">
        <v>83</v>
      </c>
      <c r="D6">
        <v>100.72499999999999</v>
      </c>
      <c r="E6" t="s">
        <v>25</v>
      </c>
      <c r="F6" t="s">
        <v>25</v>
      </c>
      <c r="G6">
        <v>25000000</v>
      </c>
      <c r="H6">
        <v>27115366.690000001</v>
      </c>
      <c r="I6">
        <v>7.7364667389999999</v>
      </c>
      <c r="J6">
        <v>108.461</v>
      </c>
      <c r="K6" t="s">
        <v>84</v>
      </c>
      <c r="L6" t="s">
        <v>27</v>
      </c>
      <c r="M6" t="s">
        <v>58</v>
      </c>
      <c r="N6" t="s">
        <v>85</v>
      </c>
      <c r="O6" s="1">
        <v>46120</v>
      </c>
    </row>
    <row r="7" spans="1:15" x14ac:dyDescent="0.25">
      <c r="A7" t="s">
        <v>22</v>
      </c>
      <c r="B7" t="s">
        <v>98</v>
      </c>
      <c r="C7" t="s">
        <v>99</v>
      </c>
      <c r="D7">
        <v>6025</v>
      </c>
      <c r="E7" t="s">
        <v>25</v>
      </c>
      <c r="F7" t="s">
        <v>25</v>
      </c>
      <c r="G7">
        <v>2985</v>
      </c>
      <c r="H7">
        <v>17984625</v>
      </c>
      <c r="I7" t="s">
        <v>25</v>
      </c>
      <c r="J7">
        <v>6025</v>
      </c>
      <c r="K7" t="s">
        <v>100</v>
      </c>
      <c r="L7" t="s">
        <v>27</v>
      </c>
      <c r="M7" t="s">
        <v>33</v>
      </c>
      <c r="N7" t="s">
        <v>78</v>
      </c>
      <c r="O7" s="1">
        <v>46185</v>
      </c>
    </row>
    <row r="8" spans="1:15" x14ac:dyDescent="0.25">
      <c r="A8" t="s">
        <v>22</v>
      </c>
      <c r="B8" t="s">
        <v>30</v>
      </c>
      <c r="C8" t="s">
        <v>31</v>
      </c>
      <c r="D8">
        <v>84.787999999999997</v>
      </c>
      <c r="E8">
        <v>35.78</v>
      </c>
      <c r="F8">
        <v>38.979999999999997</v>
      </c>
      <c r="G8">
        <v>2268000000</v>
      </c>
      <c r="H8">
        <v>1922987063.46</v>
      </c>
      <c r="I8" t="s">
        <v>25</v>
      </c>
      <c r="J8">
        <v>84.787999999999997</v>
      </c>
      <c r="K8" t="s">
        <v>32</v>
      </c>
      <c r="L8" t="s">
        <v>27</v>
      </c>
      <c r="M8" t="s">
        <v>33</v>
      </c>
      <c r="N8" t="s">
        <v>34</v>
      </c>
      <c r="O8" s="1">
        <v>46190</v>
      </c>
    </row>
    <row r="9" spans="1:15" x14ac:dyDescent="0.25">
      <c r="A9" t="s">
        <v>22</v>
      </c>
      <c r="B9" t="s">
        <v>50</v>
      </c>
      <c r="C9" t="s">
        <v>51</v>
      </c>
      <c r="D9">
        <v>6060</v>
      </c>
      <c r="E9" t="s">
        <v>25</v>
      </c>
      <c r="F9" t="s">
        <v>25</v>
      </c>
      <c r="G9">
        <v>5970</v>
      </c>
      <c r="H9">
        <v>36178200</v>
      </c>
      <c r="I9" t="s">
        <v>25</v>
      </c>
      <c r="J9">
        <v>6060</v>
      </c>
      <c r="K9" t="s">
        <v>52</v>
      </c>
      <c r="L9" t="s">
        <v>27</v>
      </c>
      <c r="M9" t="s">
        <v>53</v>
      </c>
      <c r="N9" t="s">
        <v>28</v>
      </c>
      <c r="O9" s="1">
        <v>46206</v>
      </c>
    </row>
    <row r="10" spans="1:15" x14ac:dyDescent="0.25">
      <c r="A10" t="s">
        <v>22</v>
      </c>
      <c r="B10" t="s">
        <v>101</v>
      </c>
      <c r="C10" t="s">
        <v>102</v>
      </c>
      <c r="D10">
        <v>99.805999999999997</v>
      </c>
      <c r="E10">
        <v>35.770000000000003</v>
      </c>
      <c r="F10">
        <v>38.96</v>
      </c>
      <c r="G10">
        <v>190000000</v>
      </c>
      <c r="H10">
        <v>213120460.99000001</v>
      </c>
      <c r="I10">
        <v>12.362637362999999</v>
      </c>
      <c r="J10">
        <v>112.169</v>
      </c>
      <c r="K10" t="s">
        <v>103</v>
      </c>
      <c r="L10" t="s">
        <v>27</v>
      </c>
      <c r="M10" t="s">
        <v>85</v>
      </c>
      <c r="N10" t="s">
        <v>78</v>
      </c>
      <c r="O10" s="1">
        <v>46246</v>
      </c>
    </row>
    <row r="11" spans="1:15" x14ac:dyDescent="0.25">
      <c r="A11" t="s">
        <v>22</v>
      </c>
      <c r="B11" t="s">
        <v>40</v>
      </c>
      <c r="C11" t="s">
        <v>41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>
        <v>4.8285714290000001</v>
      </c>
      <c r="J11" t="s">
        <v>25</v>
      </c>
      <c r="K11" t="s">
        <v>42</v>
      </c>
      <c r="L11" t="s">
        <v>27</v>
      </c>
      <c r="M11" t="s">
        <v>43</v>
      </c>
      <c r="N11" t="s">
        <v>44</v>
      </c>
      <c r="O11" s="1">
        <v>46267</v>
      </c>
    </row>
    <row r="12" spans="1:15" x14ac:dyDescent="0.25">
      <c r="A12" t="s">
        <v>22</v>
      </c>
      <c r="B12" t="s">
        <v>89</v>
      </c>
      <c r="C12" t="s">
        <v>90</v>
      </c>
      <c r="D12">
        <v>97.192999999999998</v>
      </c>
      <c r="E12">
        <v>35.44</v>
      </c>
      <c r="F12">
        <v>38.58</v>
      </c>
      <c r="G12">
        <v>15000000</v>
      </c>
      <c r="H12">
        <v>16258258.24</v>
      </c>
      <c r="I12">
        <v>11.195054945000001</v>
      </c>
      <c r="J12">
        <v>108.38800000000001</v>
      </c>
      <c r="K12" t="s">
        <v>91</v>
      </c>
      <c r="L12" t="s">
        <v>62</v>
      </c>
      <c r="M12" t="s">
        <v>44</v>
      </c>
      <c r="N12" t="s">
        <v>49</v>
      </c>
      <c r="O12" s="1">
        <v>46428</v>
      </c>
    </row>
    <row r="13" spans="1:15" x14ac:dyDescent="0.25">
      <c r="A13" t="s">
        <v>22</v>
      </c>
      <c r="B13" t="s">
        <v>59</v>
      </c>
      <c r="C13" t="s">
        <v>60</v>
      </c>
      <c r="D13">
        <v>105.53</v>
      </c>
      <c r="E13">
        <v>35.340000000000003</v>
      </c>
      <c r="F13">
        <v>38.46</v>
      </c>
      <c r="G13">
        <v>10000000</v>
      </c>
      <c r="H13">
        <v>11014813.18</v>
      </c>
      <c r="I13">
        <v>4.6181318679999999</v>
      </c>
      <c r="J13">
        <v>110.148</v>
      </c>
      <c r="K13" t="s">
        <v>61</v>
      </c>
      <c r="L13" t="s">
        <v>62</v>
      </c>
      <c r="M13" t="s">
        <v>63</v>
      </c>
      <c r="N13" t="s">
        <v>63</v>
      </c>
      <c r="O13" s="1">
        <v>46512</v>
      </c>
    </row>
    <row r="14" spans="1:15" x14ac:dyDescent="0.25">
      <c r="A14" t="s">
        <v>22</v>
      </c>
      <c r="B14" t="s">
        <v>130</v>
      </c>
      <c r="C14" t="s">
        <v>131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>
        <v>10.253924092</v>
      </c>
      <c r="J14" t="s">
        <v>25</v>
      </c>
      <c r="K14" t="s">
        <v>132</v>
      </c>
      <c r="L14" t="s">
        <v>62</v>
      </c>
      <c r="M14" t="s">
        <v>33</v>
      </c>
      <c r="N14" t="s">
        <v>133</v>
      </c>
      <c r="O14" s="1">
        <v>46554</v>
      </c>
    </row>
    <row r="15" spans="1:15" x14ac:dyDescent="0.25">
      <c r="A15" t="s">
        <v>22</v>
      </c>
      <c r="B15" t="s">
        <v>127</v>
      </c>
      <c r="C15" t="s">
        <v>128</v>
      </c>
      <c r="D15">
        <v>102.794</v>
      </c>
      <c r="E15">
        <v>35.200000000000003</v>
      </c>
      <c r="F15">
        <v>38.299999999999997</v>
      </c>
      <c r="G15">
        <v>26000000</v>
      </c>
      <c r="H15">
        <v>30861871.43</v>
      </c>
      <c r="I15">
        <v>15.905274725</v>
      </c>
      <c r="J15">
        <v>118.699</v>
      </c>
      <c r="K15" t="s">
        <v>129</v>
      </c>
      <c r="L15" t="s">
        <v>62</v>
      </c>
      <c r="M15" t="s">
        <v>53</v>
      </c>
      <c r="N15" t="s">
        <v>126</v>
      </c>
      <c r="O15" s="1">
        <v>46582</v>
      </c>
    </row>
    <row r="16" spans="1:15" x14ac:dyDescent="0.25">
      <c r="A16" t="s">
        <v>22</v>
      </c>
      <c r="B16" t="s">
        <v>117</v>
      </c>
      <c r="C16" t="s">
        <v>118</v>
      </c>
      <c r="D16">
        <v>100.47499999999999</v>
      </c>
      <c r="E16" t="s">
        <v>25</v>
      </c>
      <c r="F16" t="s">
        <v>25</v>
      </c>
      <c r="G16">
        <v>10000000</v>
      </c>
      <c r="H16">
        <v>10738378.75</v>
      </c>
      <c r="I16">
        <v>6.9087875079999996</v>
      </c>
      <c r="J16">
        <v>107.384</v>
      </c>
      <c r="K16" t="s">
        <v>119</v>
      </c>
      <c r="L16" t="s">
        <v>62</v>
      </c>
      <c r="M16" t="s">
        <v>49</v>
      </c>
      <c r="N16" t="s">
        <v>110</v>
      </c>
      <c r="O16" s="1">
        <v>46673</v>
      </c>
    </row>
    <row r="17" spans="1:15" x14ac:dyDescent="0.25">
      <c r="A17" t="s">
        <v>22</v>
      </c>
      <c r="B17" t="s">
        <v>120</v>
      </c>
      <c r="C17" t="s">
        <v>121</v>
      </c>
      <c r="D17">
        <v>102</v>
      </c>
      <c r="E17">
        <v>34.950000000000003</v>
      </c>
      <c r="F17">
        <v>38</v>
      </c>
      <c r="G17">
        <v>90000000</v>
      </c>
      <c r="H17">
        <v>97438252.719999999</v>
      </c>
      <c r="I17">
        <v>6.264725275</v>
      </c>
      <c r="J17">
        <v>108.265</v>
      </c>
      <c r="K17" t="s">
        <v>122</v>
      </c>
      <c r="L17" t="s">
        <v>62</v>
      </c>
      <c r="M17" t="s">
        <v>49</v>
      </c>
      <c r="N17" t="s">
        <v>110</v>
      </c>
      <c r="O17" s="1">
        <v>46673</v>
      </c>
    </row>
    <row r="18" spans="1:15" x14ac:dyDescent="0.25">
      <c r="A18" t="s">
        <v>22</v>
      </c>
      <c r="B18" t="s">
        <v>141</v>
      </c>
      <c r="C18" t="s">
        <v>142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>
        <v>6.0901386840000002</v>
      </c>
      <c r="J18" t="s">
        <v>25</v>
      </c>
      <c r="K18" t="s">
        <v>143</v>
      </c>
      <c r="L18" t="s">
        <v>38</v>
      </c>
      <c r="M18" t="s">
        <v>39</v>
      </c>
      <c r="N18" t="s">
        <v>144</v>
      </c>
      <c r="O18" s="1">
        <v>46771</v>
      </c>
    </row>
    <row r="19" spans="1:15" x14ac:dyDescent="0.25">
      <c r="A19" t="s">
        <v>22</v>
      </c>
      <c r="B19" t="s">
        <v>35</v>
      </c>
      <c r="C19" t="s">
        <v>36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>
        <v>1.3973577500000001</v>
      </c>
      <c r="J19" t="s">
        <v>25</v>
      </c>
      <c r="K19" t="s">
        <v>37</v>
      </c>
      <c r="L19" t="s">
        <v>38</v>
      </c>
      <c r="M19" t="s">
        <v>28</v>
      </c>
      <c r="N19" t="s">
        <v>39</v>
      </c>
      <c r="O19" s="1">
        <v>46813</v>
      </c>
    </row>
    <row r="20" spans="1:15" x14ac:dyDescent="0.25">
      <c r="A20" t="s">
        <v>22</v>
      </c>
      <c r="B20" t="s">
        <v>134</v>
      </c>
      <c r="C20" t="s">
        <v>135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>
        <v>2.9377564889999999</v>
      </c>
      <c r="J20" t="s">
        <v>25</v>
      </c>
      <c r="K20" t="s">
        <v>136</v>
      </c>
      <c r="L20" t="s">
        <v>38</v>
      </c>
      <c r="M20" t="s">
        <v>63</v>
      </c>
      <c r="N20" t="s">
        <v>34</v>
      </c>
      <c r="O20" s="1">
        <v>46890</v>
      </c>
    </row>
    <row r="21" spans="1:15" x14ac:dyDescent="0.25">
      <c r="A21" t="s">
        <v>22</v>
      </c>
      <c r="B21" t="s">
        <v>145</v>
      </c>
      <c r="C21" t="s">
        <v>146</v>
      </c>
      <c r="D21">
        <v>74.688000000000002</v>
      </c>
      <c r="E21">
        <v>32.369999999999997</v>
      </c>
      <c r="F21">
        <v>34.99</v>
      </c>
      <c r="G21">
        <v>4000000</v>
      </c>
      <c r="H21">
        <v>3265060.44</v>
      </c>
      <c r="I21">
        <v>6.9390109889999998</v>
      </c>
      <c r="J21">
        <v>81.626999999999995</v>
      </c>
      <c r="K21" t="s">
        <v>147</v>
      </c>
      <c r="L21" t="s">
        <v>38</v>
      </c>
      <c r="M21" t="s">
        <v>53</v>
      </c>
      <c r="N21" t="s">
        <v>144</v>
      </c>
      <c r="O21" s="1">
        <v>46953</v>
      </c>
    </row>
    <row r="22" spans="1:15" x14ac:dyDescent="0.25">
      <c r="A22" t="s">
        <v>22</v>
      </c>
      <c r="B22" t="s">
        <v>148</v>
      </c>
      <c r="C22" t="s">
        <v>149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>
        <v>0</v>
      </c>
      <c r="J22" t="s">
        <v>25</v>
      </c>
      <c r="K22" t="s">
        <v>150</v>
      </c>
      <c r="L22" t="s">
        <v>38</v>
      </c>
      <c r="M22" t="s">
        <v>53</v>
      </c>
      <c r="N22" t="s">
        <v>144</v>
      </c>
      <c r="O22" s="1">
        <v>46953</v>
      </c>
    </row>
    <row r="23" spans="1:15" x14ac:dyDescent="0.25">
      <c r="A23" t="s">
        <v>22</v>
      </c>
      <c r="B23" t="s">
        <v>72</v>
      </c>
      <c r="C23" t="s">
        <v>73</v>
      </c>
      <c r="D23">
        <v>99.7</v>
      </c>
      <c r="E23" t="s">
        <v>25</v>
      </c>
      <c r="F23" t="s">
        <v>25</v>
      </c>
      <c r="G23">
        <v>210000000</v>
      </c>
      <c r="H23">
        <v>210704781.44</v>
      </c>
      <c r="I23">
        <v>0.63572925899999999</v>
      </c>
      <c r="J23">
        <v>100.336</v>
      </c>
      <c r="K23" t="s">
        <v>74</v>
      </c>
      <c r="L23" t="s">
        <v>38</v>
      </c>
      <c r="M23" t="s">
        <v>43</v>
      </c>
      <c r="N23" t="s">
        <v>33</v>
      </c>
      <c r="O23" s="1">
        <v>47002</v>
      </c>
    </row>
    <row r="24" spans="1:15" x14ac:dyDescent="0.25">
      <c r="A24" t="s">
        <v>22</v>
      </c>
      <c r="B24" t="s">
        <v>86</v>
      </c>
      <c r="C24" t="s">
        <v>87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>
        <v>2.903076923</v>
      </c>
      <c r="J24" t="s">
        <v>25</v>
      </c>
      <c r="K24" t="s">
        <v>88</v>
      </c>
      <c r="L24" t="s">
        <v>38</v>
      </c>
      <c r="M24" t="s">
        <v>29</v>
      </c>
      <c r="N24" t="s">
        <v>85</v>
      </c>
      <c r="O24" s="1">
        <v>47065</v>
      </c>
    </row>
    <row r="25" spans="1:15" x14ac:dyDescent="0.25">
      <c r="A25" t="s">
        <v>22</v>
      </c>
      <c r="B25" t="s">
        <v>75</v>
      </c>
      <c r="C25" t="s">
        <v>76</v>
      </c>
      <c r="D25">
        <v>99.649000000000001</v>
      </c>
      <c r="E25" t="s">
        <v>25</v>
      </c>
      <c r="F25" t="s">
        <v>25</v>
      </c>
      <c r="G25">
        <v>51000000</v>
      </c>
      <c r="H25">
        <v>51145221.920000002</v>
      </c>
      <c r="I25">
        <v>0.63572925899999999</v>
      </c>
      <c r="J25">
        <v>100.285</v>
      </c>
      <c r="K25" t="s">
        <v>77</v>
      </c>
      <c r="L25" t="s">
        <v>38</v>
      </c>
      <c r="M25" t="s">
        <v>78</v>
      </c>
      <c r="N25" t="s">
        <v>33</v>
      </c>
      <c r="O25" s="1">
        <v>47093</v>
      </c>
    </row>
    <row r="26" spans="1:15" x14ac:dyDescent="0.25">
      <c r="A26" t="s">
        <v>22</v>
      </c>
      <c r="B26" t="s">
        <v>79</v>
      </c>
      <c r="C26" t="s">
        <v>80</v>
      </c>
      <c r="D26">
        <v>99.5</v>
      </c>
      <c r="E26" t="s">
        <v>25</v>
      </c>
      <c r="F26" t="s">
        <v>25</v>
      </c>
      <c r="G26">
        <v>50000000</v>
      </c>
      <c r="H26">
        <v>50067864.630000003</v>
      </c>
      <c r="I26">
        <v>0.63572925899999999</v>
      </c>
      <c r="J26">
        <v>100.136</v>
      </c>
      <c r="K26" t="s">
        <v>81</v>
      </c>
      <c r="L26" t="s">
        <v>57</v>
      </c>
      <c r="M26" t="s">
        <v>28</v>
      </c>
      <c r="N26" t="s">
        <v>53</v>
      </c>
      <c r="O26" s="1">
        <v>47184</v>
      </c>
    </row>
    <row r="27" spans="1:15" x14ac:dyDescent="0.25">
      <c r="A27" t="s">
        <v>22</v>
      </c>
      <c r="B27" t="s">
        <v>107</v>
      </c>
      <c r="C27" t="s">
        <v>108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>
        <v>2.2376373630000002</v>
      </c>
      <c r="J27" t="s">
        <v>25</v>
      </c>
      <c r="K27" t="s">
        <v>109</v>
      </c>
      <c r="L27" t="s">
        <v>57</v>
      </c>
      <c r="M27" t="s">
        <v>33</v>
      </c>
      <c r="N27" t="s">
        <v>110</v>
      </c>
      <c r="O27" s="1">
        <v>47282</v>
      </c>
    </row>
    <row r="28" spans="1:15" x14ac:dyDescent="0.25">
      <c r="A28" t="s">
        <v>22</v>
      </c>
      <c r="B28" t="s">
        <v>111</v>
      </c>
      <c r="C28" t="s">
        <v>112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>
        <v>10.253924092</v>
      </c>
      <c r="J28" t="s">
        <v>25</v>
      </c>
      <c r="K28" t="s">
        <v>113</v>
      </c>
      <c r="L28" t="s">
        <v>57</v>
      </c>
      <c r="M28" t="s">
        <v>33</v>
      </c>
      <c r="N28" t="s">
        <v>110</v>
      </c>
      <c r="O28" s="1">
        <v>47282</v>
      </c>
    </row>
    <row r="29" spans="1:15" x14ac:dyDescent="0.25">
      <c r="A29" t="s">
        <v>22</v>
      </c>
      <c r="B29" t="s">
        <v>54</v>
      </c>
      <c r="C29" t="s">
        <v>55</v>
      </c>
      <c r="D29">
        <v>99.4</v>
      </c>
      <c r="E29" t="s">
        <v>25</v>
      </c>
      <c r="F29" t="s">
        <v>25</v>
      </c>
      <c r="G29">
        <v>2000000</v>
      </c>
      <c r="H29">
        <v>2392395.6</v>
      </c>
      <c r="I29">
        <v>20.219780220000001</v>
      </c>
      <c r="J29">
        <v>119.62</v>
      </c>
      <c r="K29" t="s">
        <v>56</v>
      </c>
      <c r="L29" t="s">
        <v>57</v>
      </c>
      <c r="M29" t="s">
        <v>53</v>
      </c>
      <c r="N29" t="s">
        <v>58</v>
      </c>
      <c r="O29" s="1">
        <v>47303</v>
      </c>
    </row>
    <row r="30" spans="1:15" x14ac:dyDescent="0.25">
      <c r="A30" t="s">
        <v>22</v>
      </c>
      <c r="B30" t="s">
        <v>104</v>
      </c>
      <c r="C30" t="s">
        <v>105</v>
      </c>
      <c r="D30">
        <v>94.17</v>
      </c>
      <c r="E30">
        <v>32.67</v>
      </c>
      <c r="F30">
        <v>35.340000000000003</v>
      </c>
      <c r="G30">
        <v>327000000</v>
      </c>
      <c r="H30">
        <v>332191244.5</v>
      </c>
      <c r="I30">
        <v>7.4175824180000003</v>
      </c>
      <c r="J30">
        <v>101.58799999999999</v>
      </c>
      <c r="K30" t="s">
        <v>106</v>
      </c>
      <c r="L30" t="s">
        <v>57</v>
      </c>
      <c r="M30" t="s">
        <v>43</v>
      </c>
      <c r="N30" t="s">
        <v>78</v>
      </c>
      <c r="O30" s="1">
        <v>47373</v>
      </c>
    </row>
    <row r="31" spans="1:15" x14ac:dyDescent="0.25">
      <c r="A31" t="s">
        <v>22</v>
      </c>
      <c r="B31" t="s">
        <v>92</v>
      </c>
      <c r="C31" t="s">
        <v>93</v>
      </c>
      <c r="D31">
        <v>103.97499999999999</v>
      </c>
      <c r="E31">
        <v>32.299999999999997</v>
      </c>
      <c r="F31">
        <v>34.909999999999997</v>
      </c>
      <c r="G31">
        <v>20000000</v>
      </c>
      <c r="H31">
        <v>23661648.350000001</v>
      </c>
      <c r="I31">
        <v>14.333241758</v>
      </c>
      <c r="J31">
        <v>118.30800000000001</v>
      </c>
      <c r="K31" t="s">
        <v>94</v>
      </c>
      <c r="L31" t="s">
        <v>48</v>
      </c>
      <c r="M31" t="s">
        <v>53</v>
      </c>
      <c r="N31" t="s">
        <v>49</v>
      </c>
      <c r="O31" s="1">
        <v>47674</v>
      </c>
    </row>
    <row r="32" spans="1:15" x14ac:dyDescent="0.25">
      <c r="A32" t="s">
        <v>22</v>
      </c>
      <c r="B32" t="s">
        <v>45</v>
      </c>
      <c r="C32" t="s">
        <v>46</v>
      </c>
      <c r="D32">
        <v>103.85599999999999</v>
      </c>
      <c r="E32">
        <v>32.15</v>
      </c>
      <c r="F32">
        <v>34.729999999999997</v>
      </c>
      <c r="G32">
        <v>116000000</v>
      </c>
      <c r="H32">
        <v>127927774.73</v>
      </c>
      <c r="I32">
        <v>6.4260989009999996</v>
      </c>
      <c r="J32">
        <v>110.282</v>
      </c>
      <c r="K32" t="s">
        <v>47</v>
      </c>
      <c r="L32" t="s">
        <v>48</v>
      </c>
      <c r="M32" t="s">
        <v>49</v>
      </c>
      <c r="N32" t="s">
        <v>44</v>
      </c>
      <c r="O32" s="1">
        <v>47758</v>
      </c>
    </row>
    <row r="33" spans="1:15" x14ac:dyDescent="0.25">
      <c r="A33" t="s">
        <v>22</v>
      </c>
      <c r="B33" t="s">
        <v>114</v>
      </c>
      <c r="C33" t="s">
        <v>115</v>
      </c>
      <c r="D33">
        <v>66.5</v>
      </c>
      <c r="E33">
        <v>28.87</v>
      </c>
      <c r="F33">
        <v>30.95</v>
      </c>
      <c r="G33">
        <v>5000000</v>
      </c>
      <c r="H33">
        <v>3681978.02</v>
      </c>
      <c r="I33">
        <v>7.1395604400000003</v>
      </c>
      <c r="J33">
        <v>73.64</v>
      </c>
      <c r="K33" t="s">
        <v>116</v>
      </c>
      <c r="L33" t="s">
        <v>71</v>
      </c>
      <c r="M33" t="s">
        <v>53</v>
      </c>
      <c r="N33" t="s">
        <v>110</v>
      </c>
      <c r="O33" s="1">
        <v>48773</v>
      </c>
    </row>
    <row r="34" spans="1:15" x14ac:dyDescent="0.25">
      <c r="A34" t="s">
        <v>22</v>
      </c>
      <c r="B34" t="s">
        <v>68</v>
      </c>
      <c r="C34" t="s">
        <v>69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>
        <v>4.4626373629999998</v>
      </c>
      <c r="J34" t="s">
        <v>25</v>
      </c>
      <c r="K34" t="s">
        <v>70</v>
      </c>
      <c r="L34" t="s">
        <v>71</v>
      </c>
      <c r="M34" t="s">
        <v>49</v>
      </c>
      <c r="N34" t="s">
        <v>63</v>
      </c>
      <c r="O34" s="1">
        <v>48857</v>
      </c>
    </row>
    <row r="35" spans="1:15" x14ac:dyDescent="0.25">
      <c r="A35" t="s">
        <v>22</v>
      </c>
      <c r="B35" t="s">
        <v>151</v>
      </c>
      <c r="C35" t="s">
        <v>152</v>
      </c>
      <c r="D35">
        <v>96.162000000000006</v>
      </c>
      <c r="E35">
        <v>28.85</v>
      </c>
      <c r="F35">
        <v>30.93</v>
      </c>
      <c r="G35">
        <v>26000000</v>
      </c>
      <c r="H35">
        <v>26367214.280000001</v>
      </c>
      <c r="I35">
        <v>5.2508241760000001</v>
      </c>
      <c r="J35">
        <v>101.413</v>
      </c>
      <c r="K35" t="s">
        <v>153</v>
      </c>
      <c r="L35" t="s">
        <v>154</v>
      </c>
      <c r="M35" t="s">
        <v>43</v>
      </c>
      <c r="N35" t="s">
        <v>155</v>
      </c>
      <c r="O35" s="1">
        <v>49214</v>
      </c>
    </row>
    <row r="36" spans="1:15" x14ac:dyDescent="0.25">
      <c r="A36" t="s">
        <v>22</v>
      </c>
      <c r="B36" t="s">
        <v>64</v>
      </c>
      <c r="C36" t="s">
        <v>65</v>
      </c>
      <c r="D36">
        <v>104.05200000000001</v>
      </c>
      <c r="E36">
        <v>28.72</v>
      </c>
      <c r="F36">
        <v>30.78</v>
      </c>
      <c r="G36">
        <v>21000000</v>
      </c>
      <c r="H36">
        <v>23411807.699999999</v>
      </c>
      <c r="I36">
        <v>7.4324175820000002</v>
      </c>
      <c r="J36">
        <v>111.48399999999999</v>
      </c>
      <c r="K36" t="s">
        <v>66</v>
      </c>
      <c r="L36" t="s">
        <v>67</v>
      </c>
      <c r="M36" t="s">
        <v>43</v>
      </c>
      <c r="N36" t="s">
        <v>63</v>
      </c>
      <c r="O36" s="1">
        <v>49557</v>
      </c>
    </row>
  </sheetData>
  <sortState ref="A2:O36">
    <sortCondition ref="O2:O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TURIB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GÜRSEL KONA</dc:creator>
  <cp:lastModifiedBy>GÜRSEL KONA</cp:lastModifiedBy>
  <dcterms:created xsi:type="dcterms:W3CDTF">2025-12-16T10:49:02Z</dcterms:created>
  <dcterms:modified xsi:type="dcterms:W3CDTF">2025-12-16T11:30:57Z</dcterms:modified>
</cp:coreProperties>
</file>