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cs\spotrates\"/>
    </mc:Choice>
  </mc:AlternateContent>
  <xr:revisionPtr revIDLastSave="0" documentId="13_ncr:1_{E15A7623-A2B8-4A9A-8110-F238020CCF12}" xr6:coauthVersionLast="36" xr6:coauthVersionMax="47" xr10:uidLastSave="{00000000-0000-0000-0000-000000000000}"/>
  <bookViews>
    <workbookView xWindow="38400" yWindow="615" windowWidth="38400" windowHeight="20985" xr2:uid="{38BA6D41-0B11-CB4B-A861-BC8FF1BDC8C3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1" hidden="1">Sheet2!$A$1:$K$114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A26" i="2"/>
  <c r="B26" i="2"/>
  <c r="C26" i="2"/>
  <c r="D26" i="2"/>
  <c r="E26" i="2"/>
  <c r="F26" i="2"/>
  <c r="G26" i="2"/>
  <c r="H26" i="2"/>
  <c r="I26" i="2"/>
  <c r="J26" i="2"/>
  <c r="K26" i="2"/>
  <c r="A57" i="2"/>
  <c r="B57" i="2"/>
  <c r="C57" i="2"/>
  <c r="D57" i="2"/>
  <c r="E57" i="2"/>
  <c r="F57" i="2"/>
  <c r="G57" i="2"/>
  <c r="H57" i="2"/>
  <c r="I57" i="2"/>
  <c r="J57" i="2"/>
  <c r="K57" i="2"/>
  <c r="A4" i="2"/>
  <c r="B4" i="2"/>
  <c r="C4" i="2"/>
  <c r="D4" i="2"/>
  <c r="E4" i="2"/>
  <c r="F4" i="2"/>
  <c r="G4" i="2"/>
  <c r="H4" i="2"/>
  <c r="I4" i="2"/>
  <c r="J4" i="2"/>
  <c r="K4" i="2"/>
  <c r="A5" i="2"/>
  <c r="B5" i="2"/>
  <c r="C5" i="2"/>
  <c r="D5" i="2"/>
  <c r="E5" i="2"/>
  <c r="F5" i="2"/>
  <c r="G5" i="2"/>
  <c r="H5" i="2"/>
  <c r="I5" i="2"/>
  <c r="J5" i="2"/>
  <c r="K5" i="2"/>
  <c r="A108" i="2"/>
  <c r="B108" i="2"/>
  <c r="C108" i="2"/>
  <c r="D108" i="2"/>
  <c r="E108" i="2"/>
  <c r="F108" i="2"/>
  <c r="G108" i="2"/>
  <c r="H108" i="2"/>
  <c r="I108" i="2"/>
  <c r="J108" i="2"/>
  <c r="K108" i="2"/>
  <c r="A111" i="2"/>
  <c r="B111" i="2"/>
  <c r="C111" i="2"/>
  <c r="D111" i="2"/>
  <c r="E111" i="2"/>
  <c r="F111" i="2"/>
  <c r="G111" i="2"/>
  <c r="H111" i="2"/>
  <c r="I111" i="2"/>
  <c r="J111" i="2"/>
  <c r="K111" i="2"/>
  <c r="A2" i="2"/>
  <c r="B2" i="2"/>
  <c r="C2" i="2"/>
  <c r="D2" i="2"/>
  <c r="E2" i="2"/>
  <c r="F2" i="2"/>
  <c r="G2" i="2"/>
  <c r="H2" i="2"/>
  <c r="I2" i="2"/>
  <c r="J2" i="2"/>
  <c r="K2" i="2"/>
  <c r="A3" i="2"/>
  <c r="B3" i="2"/>
  <c r="C3" i="2"/>
  <c r="D3" i="2"/>
  <c r="E3" i="2"/>
  <c r="F3" i="2"/>
  <c r="G3" i="2"/>
  <c r="H3" i="2"/>
  <c r="I3" i="2"/>
  <c r="J3" i="2"/>
  <c r="K3" i="2"/>
  <c r="A44" i="2"/>
  <c r="B44" i="2"/>
  <c r="C44" i="2"/>
  <c r="D44" i="2"/>
  <c r="E44" i="2"/>
  <c r="F44" i="2"/>
  <c r="G44" i="2"/>
  <c r="H44" i="2"/>
  <c r="I44" i="2"/>
  <c r="J44" i="2"/>
  <c r="K44" i="2"/>
  <c r="A11" i="2"/>
  <c r="B11" i="2"/>
  <c r="C11" i="2"/>
  <c r="D11" i="2"/>
  <c r="E11" i="2"/>
  <c r="F11" i="2"/>
  <c r="G11" i="2"/>
  <c r="H11" i="2"/>
  <c r="I11" i="2"/>
  <c r="J11" i="2"/>
  <c r="K11" i="2"/>
  <c r="A12" i="2"/>
  <c r="B12" i="2"/>
  <c r="C12" i="2"/>
  <c r="D12" i="2"/>
  <c r="E12" i="2"/>
  <c r="F12" i="2"/>
  <c r="G12" i="2"/>
  <c r="H12" i="2"/>
  <c r="I12" i="2"/>
  <c r="J12" i="2"/>
  <c r="K12" i="2"/>
  <c r="A13" i="2"/>
  <c r="B13" i="2"/>
  <c r="C13" i="2"/>
  <c r="D13" i="2"/>
  <c r="E13" i="2"/>
  <c r="F13" i="2"/>
  <c r="G13" i="2"/>
  <c r="H13" i="2"/>
  <c r="I13" i="2"/>
  <c r="J13" i="2"/>
  <c r="K13" i="2"/>
  <c r="A14" i="2"/>
  <c r="B14" i="2"/>
  <c r="C14" i="2"/>
  <c r="D14" i="2"/>
  <c r="E14" i="2"/>
  <c r="F14" i="2"/>
  <c r="G14" i="2"/>
  <c r="H14" i="2"/>
  <c r="I14" i="2"/>
  <c r="J14" i="2"/>
  <c r="K14" i="2"/>
  <c r="A15" i="2"/>
  <c r="B15" i="2"/>
  <c r="C15" i="2"/>
  <c r="D15" i="2"/>
  <c r="E15" i="2"/>
  <c r="F15" i="2"/>
  <c r="G15" i="2"/>
  <c r="H15" i="2"/>
  <c r="I15" i="2"/>
  <c r="J15" i="2"/>
  <c r="K15" i="2"/>
  <c r="A16" i="2"/>
  <c r="B16" i="2"/>
  <c r="C16" i="2"/>
  <c r="D16" i="2"/>
  <c r="E16" i="2"/>
  <c r="F16" i="2"/>
  <c r="G16" i="2"/>
  <c r="H16" i="2"/>
  <c r="I16" i="2"/>
  <c r="J16" i="2"/>
  <c r="K16" i="2"/>
  <c r="A31" i="2"/>
  <c r="B31" i="2"/>
  <c r="C31" i="2"/>
  <c r="D31" i="2"/>
  <c r="E31" i="2"/>
  <c r="F31" i="2"/>
  <c r="G31" i="2"/>
  <c r="H31" i="2"/>
  <c r="I31" i="2"/>
  <c r="J31" i="2"/>
  <c r="K31" i="2"/>
  <c r="A32" i="2"/>
  <c r="B32" i="2"/>
  <c r="C32" i="2"/>
  <c r="D32" i="2"/>
  <c r="E32" i="2"/>
  <c r="F32" i="2"/>
  <c r="G32" i="2"/>
  <c r="H32" i="2"/>
  <c r="I32" i="2"/>
  <c r="J32" i="2"/>
  <c r="K32" i="2"/>
  <c r="A38" i="2"/>
  <c r="B38" i="2"/>
  <c r="C38" i="2"/>
  <c r="D38" i="2"/>
  <c r="E38" i="2"/>
  <c r="F38" i="2"/>
  <c r="G38" i="2"/>
  <c r="H38" i="2"/>
  <c r="I38" i="2"/>
  <c r="J38" i="2"/>
  <c r="K38" i="2"/>
  <c r="A34" i="2"/>
  <c r="B34" i="2"/>
  <c r="C34" i="2"/>
  <c r="D34" i="2"/>
  <c r="E34" i="2"/>
  <c r="F34" i="2"/>
  <c r="G34" i="2"/>
  <c r="H34" i="2"/>
  <c r="I34" i="2"/>
  <c r="J34" i="2"/>
  <c r="K34" i="2"/>
  <c r="A41" i="2"/>
  <c r="B41" i="2"/>
  <c r="C41" i="2"/>
  <c r="D41" i="2"/>
  <c r="E41" i="2"/>
  <c r="F41" i="2"/>
  <c r="G41" i="2"/>
  <c r="H41" i="2"/>
  <c r="I41" i="2"/>
  <c r="J41" i="2"/>
  <c r="K41" i="2"/>
  <c r="A40" i="2"/>
  <c r="B40" i="2"/>
  <c r="C40" i="2"/>
  <c r="D40" i="2"/>
  <c r="E40" i="2"/>
  <c r="F40" i="2"/>
  <c r="G40" i="2"/>
  <c r="H40" i="2"/>
  <c r="I40" i="2"/>
  <c r="J40" i="2"/>
  <c r="K40" i="2"/>
  <c r="A23" i="2"/>
  <c r="B23" i="2"/>
  <c r="C23" i="2"/>
  <c r="D23" i="2"/>
  <c r="E23" i="2"/>
  <c r="F23" i="2"/>
  <c r="G23" i="2"/>
  <c r="H23" i="2"/>
  <c r="I23" i="2"/>
  <c r="J23" i="2"/>
  <c r="K23" i="2"/>
  <c r="A24" i="2"/>
  <c r="B24" i="2"/>
  <c r="C24" i="2"/>
  <c r="D24" i="2"/>
  <c r="E24" i="2"/>
  <c r="F24" i="2"/>
  <c r="G24" i="2"/>
  <c r="H24" i="2"/>
  <c r="I24" i="2"/>
  <c r="J24" i="2"/>
  <c r="K24" i="2"/>
  <c r="A25" i="2"/>
  <c r="B25" i="2"/>
  <c r="C25" i="2"/>
  <c r="D25" i="2"/>
  <c r="E25" i="2"/>
  <c r="F25" i="2"/>
  <c r="G25" i="2"/>
  <c r="H25" i="2"/>
  <c r="I25" i="2"/>
  <c r="J25" i="2"/>
  <c r="K25" i="2"/>
  <c r="A39" i="2"/>
  <c r="B39" i="2"/>
  <c r="C39" i="2"/>
  <c r="D39" i="2"/>
  <c r="E39" i="2"/>
  <c r="F39" i="2"/>
  <c r="G39" i="2"/>
  <c r="H39" i="2"/>
  <c r="I39" i="2"/>
  <c r="J39" i="2"/>
  <c r="K39" i="2"/>
  <c r="A27" i="2"/>
  <c r="B27" i="2"/>
  <c r="C27" i="2"/>
  <c r="D27" i="2"/>
  <c r="E27" i="2"/>
  <c r="F27" i="2"/>
  <c r="G27" i="2"/>
  <c r="H27" i="2"/>
  <c r="I27" i="2"/>
  <c r="J27" i="2"/>
  <c r="K27" i="2"/>
  <c r="A28" i="2"/>
  <c r="B28" i="2"/>
  <c r="C28" i="2"/>
  <c r="D28" i="2"/>
  <c r="E28" i="2"/>
  <c r="F28" i="2"/>
  <c r="G28" i="2"/>
  <c r="H28" i="2"/>
  <c r="I28" i="2"/>
  <c r="J28" i="2"/>
  <c r="K28" i="2"/>
  <c r="A29" i="2"/>
  <c r="B29" i="2"/>
  <c r="C29" i="2"/>
  <c r="D29" i="2"/>
  <c r="E29" i="2"/>
  <c r="F29" i="2"/>
  <c r="G29" i="2"/>
  <c r="H29" i="2"/>
  <c r="I29" i="2"/>
  <c r="J29" i="2"/>
  <c r="K29" i="2"/>
  <c r="A30" i="2"/>
  <c r="B30" i="2"/>
  <c r="C30" i="2"/>
  <c r="D30" i="2"/>
  <c r="E30" i="2"/>
  <c r="F30" i="2"/>
  <c r="G30" i="2"/>
  <c r="H30" i="2"/>
  <c r="I30" i="2"/>
  <c r="J30" i="2"/>
  <c r="K30" i="2"/>
  <c r="A37" i="2"/>
  <c r="B37" i="2"/>
  <c r="C37" i="2"/>
  <c r="D37" i="2"/>
  <c r="E37" i="2"/>
  <c r="F37" i="2"/>
  <c r="G37" i="2"/>
  <c r="H37" i="2"/>
  <c r="I37" i="2"/>
  <c r="J37" i="2"/>
  <c r="K37" i="2"/>
  <c r="A107" i="2"/>
  <c r="B107" i="2"/>
  <c r="C107" i="2"/>
  <c r="D107" i="2"/>
  <c r="E107" i="2"/>
  <c r="F107" i="2"/>
  <c r="G107" i="2"/>
  <c r="H107" i="2"/>
  <c r="I107" i="2"/>
  <c r="J107" i="2"/>
  <c r="K107" i="2"/>
  <c r="A33" i="2"/>
  <c r="B33" i="2"/>
  <c r="C33" i="2"/>
  <c r="D33" i="2"/>
  <c r="E33" i="2"/>
  <c r="F33" i="2"/>
  <c r="G33" i="2"/>
  <c r="H33" i="2"/>
  <c r="I33" i="2"/>
  <c r="J33" i="2"/>
  <c r="K33" i="2"/>
  <c r="A6" i="2"/>
  <c r="B6" i="2"/>
  <c r="C6" i="2"/>
  <c r="D6" i="2"/>
  <c r="E6" i="2"/>
  <c r="F6" i="2"/>
  <c r="G6" i="2"/>
  <c r="H6" i="2"/>
  <c r="I6" i="2"/>
  <c r="J6" i="2"/>
  <c r="K6" i="2"/>
  <c r="A35" i="2"/>
  <c r="B35" i="2"/>
  <c r="C35" i="2"/>
  <c r="D35" i="2"/>
  <c r="E35" i="2"/>
  <c r="F35" i="2"/>
  <c r="G35" i="2"/>
  <c r="H35" i="2"/>
  <c r="I35" i="2"/>
  <c r="J35" i="2"/>
  <c r="K35" i="2"/>
  <c r="A7" i="2"/>
  <c r="B7" i="2"/>
  <c r="C7" i="2"/>
  <c r="D7" i="2"/>
  <c r="E7" i="2"/>
  <c r="F7" i="2"/>
  <c r="G7" i="2"/>
  <c r="H7" i="2"/>
  <c r="I7" i="2"/>
  <c r="J7" i="2"/>
  <c r="K7" i="2"/>
  <c r="A85" i="2"/>
  <c r="B85" i="2"/>
  <c r="C85" i="2"/>
  <c r="D85" i="2"/>
  <c r="E85" i="2"/>
  <c r="F85" i="2"/>
  <c r="G85" i="2"/>
  <c r="H85" i="2"/>
  <c r="I85" i="2"/>
  <c r="J85" i="2"/>
  <c r="K85" i="2"/>
  <c r="A8" i="2"/>
  <c r="B8" i="2"/>
  <c r="C8" i="2"/>
  <c r="D8" i="2"/>
  <c r="E8" i="2"/>
  <c r="F8" i="2"/>
  <c r="G8" i="2"/>
  <c r="H8" i="2"/>
  <c r="I8" i="2"/>
  <c r="J8" i="2"/>
  <c r="K8" i="2"/>
  <c r="A9" i="2"/>
  <c r="B9" i="2"/>
  <c r="C9" i="2"/>
  <c r="D9" i="2"/>
  <c r="E9" i="2"/>
  <c r="F9" i="2"/>
  <c r="G9" i="2"/>
  <c r="H9" i="2"/>
  <c r="I9" i="2"/>
  <c r="J9" i="2"/>
  <c r="K9" i="2"/>
  <c r="A53" i="2"/>
  <c r="B53" i="2"/>
  <c r="C53" i="2"/>
  <c r="D53" i="2"/>
  <c r="E53" i="2"/>
  <c r="F53" i="2"/>
  <c r="G53" i="2"/>
  <c r="H53" i="2"/>
  <c r="I53" i="2"/>
  <c r="J53" i="2"/>
  <c r="K53" i="2"/>
  <c r="A42" i="2"/>
  <c r="B42" i="2"/>
  <c r="C42" i="2"/>
  <c r="D42" i="2"/>
  <c r="E42" i="2"/>
  <c r="F42" i="2"/>
  <c r="G42" i="2"/>
  <c r="H42" i="2"/>
  <c r="I42" i="2"/>
  <c r="J42" i="2"/>
  <c r="K42" i="2"/>
  <c r="A63" i="2"/>
  <c r="B63" i="2"/>
  <c r="C63" i="2"/>
  <c r="D63" i="2"/>
  <c r="E63" i="2"/>
  <c r="F63" i="2"/>
  <c r="G63" i="2"/>
  <c r="H63" i="2"/>
  <c r="I63" i="2"/>
  <c r="J63" i="2"/>
  <c r="K63" i="2"/>
  <c r="A43" i="2"/>
  <c r="B43" i="2"/>
  <c r="C43" i="2"/>
  <c r="D43" i="2"/>
  <c r="E43" i="2"/>
  <c r="F43" i="2"/>
  <c r="G43" i="2"/>
  <c r="H43" i="2"/>
  <c r="I43" i="2"/>
  <c r="J43" i="2"/>
  <c r="K43" i="2"/>
  <c r="A10" i="2"/>
  <c r="B10" i="2"/>
  <c r="C10" i="2"/>
  <c r="D10" i="2"/>
  <c r="E10" i="2"/>
  <c r="F10" i="2"/>
  <c r="G10" i="2"/>
  <c r="H10" i="2"/>
  <c r="I10" i="2"/>
  <c r="J10" i="2"/>
  <c r="K10" i="2"/>
  <c r="A45" i="2"/>
  <c r="B45" i="2"/>
  <c r="C45" i="2"/>
  <c r="D45" i="2"/>
  <c r="E45" i="2"/>
  <c r="F45" i="2"/>
  <c r="G45" i="2"/>
  <c r="H45" i="2"/>
  <c r="I45" i="2"/>
  <c r="J45" i="2"/>
  <c r="K45" i="2"/>
  <c r="A46" i="2"/>
  <c r="B46" i="2"/>
  <c r="C46" i="2"/>
  <c r="D46" i="2"/>
  <c r="E46" i="2"/>
  <c r="F46" i="2"/>
  <c r="G46" i="2"/>
  <c r="H46" i="2"/>
  <c r="I46" i="2"/>
  <c r="J46" i="2"/>
  <c r="K46" i="2"/>
  <c r="A47" i="2"/>
  <c r="B47" i="2"/>
  <c r="C47" i="2"/>
  <c r="D47" i="2"/>
  <c r="E47" i="2"/>
  <c r="F47" i="2"/>
  <c r="G47" i="2"/>
  <c r="H47" i="2"/>
  <c r="I47" i="2"/>
  <c r="J47" i="2"/>
  <c r="K47" i="2"/>
  <c r="A48" i="2"/>
  <c r="B48" i="2"/>
  <c r="C48" i="2"/>
  <c r="D48" i="2"/>
  <c r="E48" i="2"/>
  <c r="F48" i="2"/>
  <c r="G48" i="2"/>
  <c r="H48" i="2"/>
  <c r="I48" i="2"/>
  <c r="J48" i="2"/>
  <c r="K48" i="2"/>
  <c r="A49" i="2"/>
  <c r="B49" i="2"/>
  <c r="C49" i="2"/>
  <c r="D49" i="2"/>
  <c r="E49" i="2"/>
  <c r="F49" i="2"/>
  <c r="G49" i="2"/>
  <c r="H49" i="2"/>
  <c r="I49" i="2"/>
  <c r="J49" i="2"/>
  <c r="K49" i="2"/>
  <c r="A50" i="2"/>
  <c r="B50" i="2"/>
  <c r="C50" i="2"/>
  <c r="D50" i="2"/>
  <c r="E50" i="2"/>
  <c r="F50" i="2"/>
  <c r="G50" i="2"/>
  <c r="H50" i="2"/>
  <c r="I50" i="2"/>
  <c r="J50" i="2"/>
  <c r="K50" i="2"/>
  <c r="A51" i="2"/>
  <c r="B51" i="2"/>
  <c r="C51" i="2"/>
  <c r="D51" i="2"/>
  <c r="E51" i="2"/>
  <c r="F51" i="2"/>
  <c r="G51" i="2"/>
  <c r="H51" i="2"/>
  <c r="I51" i="2"/>
  <c r="J51" i="2"/>
  <c r="K51" i="2"/>
  <c r="A52" i="2"/>
  <c r="B52" i="2"/>
  <c r="C52" i="2"/>
  <c r="D52" i="2"/>
  <c r="E52" i="2"/>
  <c r="F52" i="2"/>
  <c r="G52" i="2"/>
  <c r="H52" i="2"/>
  <c r="I52" i="2"/>
  <c r="J52" i="2"/>
  <c r="K52" i="2"/>
  <c r="A17" i="2"/>
  <c r="B17" i="2"/>
  <c r="C17" i="2"/>
  <c r="D17" i="2"/>
  <c r="E17" i="2"/>
  <c r="F17" i="2"/>
  <c r="G17" i="2"/>
  <c r="H17" i="2"/>
  <c r="I17" i="2"/>
  <c r="J17" i="2"/>
  <c r="K17" i="2"/>
  <c r="A54" i="2"/>
  <c r="B54" i="2"/>
  <c r="C54" i="2"/>
  <c r="D54" i="2"/>
  <c r="E54" i="2"/>
  <c r="F54" i="2"/>
  <c r="G54" i="2"/>
  <c r="H54" i="2"/>
  <c r="I54" i="2"/>
  <c r="J54" i="2"/>
  <c r="K54" i="2"/>
  <c r="A55" i="2"/>
  <c r="B55" i="2"/>
  <c r="C55" i="2"/>
  <c r="D55" i="2"/>
  <c r="E55" i="2"/>
  <c r="F55" i="2"/>
  <c r="G55" i="2"/>
  <c r="H55" i="2"/>
  <c r="I55" i="2"/>
  <c r="J55" i="2"/>
  <c r="K55" i="2"/>
  <c r="A56" i="2"/>
  <c r="B56" i="2"/>
  <c r="C56" i="2"/>
  <c r="D56" i="2"/>
  <c r="E56" i="2"/>
  <c r="F56" i="2"/>
  <c r="G56" i="2"/>
  <c r="H56" i="2"/>
  <c r="I56" i="2"/>
  <c r="J56" i="2"/>
  <c r="K56" i="2"/>
  <c r="A18" i="2"/>
  <c r="B18" i="2"/>
  <c r="C18" i="2"/>
  <c r="D18" i="2"/>
  <c r="E18" i="2"/>
  <c r="F18" i="2"/>
  <c r="G18" i="2"/>
  <c r="H18" i="2"/>
  <c r="I18" i="2"/>
  <c r="J18" i="2"/>
  <c r="K18" i="2"/>
  <c r="A58" i="2"/>
  <c r="B58" i="2"/>
  <c r="C58" i="2"/>
  <c r="D58" i="2"/>
  <c r="E58" i="2"/>
  <c r="F58" i="2"/>
  <c r="G58" i="2"/>
  <c r="H58" i="2"/>
  <c r="I58" i="2"/>
  <c r="J58" i="2"/>
  <c r="K58" i="2"/>
  <c r="A59" i="2"/>
  <c r="B59" i="2"/>
  <c r="C59" i="2"/>
  <c r="D59" i="2"/>
  <c r="E59" i="2"/>
  <c r="F59" i="2"/>
  <c r="G59" i="2"/>
  <c r="H59" i="2"/>
  <c r="I59" i="2"/>
  <c r="J59" i="2"/>
  <c r="K59" i="2"/>
  <c r="A60" i="2"/>
  <c r="B60" i="2"/>
  <c r="C60" i="2"/>
  <c r="D60" i="2"/>
  <c r="E60" i="2"/>
  <c r="F60" i="2"/>
  <c r="G60" i="2"/>
  <c r="H60" i="2"/>
  <c r="I60" i="2"/>
  <c r="J60" i="2"/>
  <c r="K60" i="2"/>
  <c r="A61" i="2"/>
  <c r="B61" i="2"/>
  <c r="C61" i="2"/>
  <c r="D61" i="2"/>
  <c r="E61" i="2"/>
  <c r="F61" i="2"/>
  <c r="G61" i="2"/>
  <c r="H61" i="2"/>
  <c r="I61" i="2"/>
  <c r="J61" i="2"/>
  <c r="K61" i="2"/>
  <c r="A36" i="2"/>
  <c r="B36" i="2"/>
  <c r="C36" i="2"/>
  <c r="D36" i="2"/>
  <c r="E36" i="2"/>
  <c r="F36" i="2"/>
  <c r="G36" i="2"/>
  <c r="H36" i="2"/>
  <c r="I36" i="2"/>
  <c r="J36" i="2"/>
  <c r="K36" i="2"/>
  <c r="A62" i="2"/>
  <c r="B62" i="2"/>
  <c r="C62" i="2"/>
  <c r="D62" i="2"/>
  <c r="E62" i="2"/>
  <c r="F62" i="2"/>
  <c r="G62" i="2"/>
  <c r="H62" i="2"/>
  <c r="I62" i="2"/>
  <c r="J62" i="2"/>
  <c r="K62" i="2"/>
  <c r="A64" i="2"/>
  <c r="B64" i="2"/>
  <c r="C64" i="2"/>
  <c r="D64" i="2"/>
  <c r="E64" i="2"/>
  <c r="F64" i="2"/>
  <c r="G64" i="2"/>
  <c r="H64" i="2"/>
  <c r="I64" i="2"/>
  <c r="J64" i="2"/>
  <c r="K64" i="2"/>
  <c r="A65" i="2"/>
  <c r="B65" i="2"/>
  <c r="C65" i="2"/>
  <c r="D65" i="2"/>
  <c r="E65" i="2"/>
  <c r="F65" i="2"/>
  <c r="G65" i="2"/>
  <c r="H65" i="2"/>
  <c r="I65" i="2"/>
  <c r="J65" i="2"/>
  <c r="K65" i="2"/>
  <c r="A66" i="2"/>
  <c r="B66" i="2"/>
  <c r="C66" i="2"/>
  <c r="D66" i="2"/>
  <c r="E66" i="2"/>
  <c r="F66" i="2"/>
  <c r="G66" i="2"/>
  <c r="H66" i="2"/>
  <c r="I66" i="2"/>
  <c r="J66" i="2"/>
  <c r="K66" i="2"/>
  <c r="A67" i="2"/>
  <c r="B67" i="2"/>
  <c r="C67" i="2"/>
  <c r="D67" i="2"/>
  <c r="E67" i="2"/>
  <c r="F67" i="2"/>
  <c r="G67" i="2"/>
  <c r="H67" i="2"/>
  <c r="I67" i="2"/>
  <c r="J67" i="2"/>
  <c r="K67" i="2"/>
  <c r="A68" i="2"/>
  <c r="B68" i="2"/>
  <c r="C68" i="2"/>
  <c r="D68" i="2"/>
  <c r="E68" i="2"/>
  <c r="F68" i="2"/>
  <c r="G68" i="2"/>
  <c r="H68" i="2"/>
  <c r="I68" i="2"/>
  <c r="J68" i="2"/>
  <c r="K68" i="2"/>
  <c r="A69" i="2"/>
  <c r="B69" i="2"/>
  <c r="C69" i="2"/>
  <c r="D69" i="2"/>
  <c r="E69" i="2"/>
  <c r="F69" i="2"/>
  <c r="G69" i="2"/>
  <c r="H69" i="2"/>
  <c r="I69" i="2"/>
  <c r="J69" i="2"/>
  <c r="K69" i="2"/>
  <c r="A70" i="2"/>
  <c r="B70" i="2"/>
  <c r="C70" i="2"/>
  <c r="D70" i="2"/>
  <c r="E70" i="2"/>
  <c r="F70" i="2"/>
  <c r="G70" i="2"/>
  <c r="H70" i="2"/>
  <c r="I70" i="2"/>
  <c r="J70" i="2"/>
  <c r="K70" i="2"/>
  <c r="A71" i="2"/>
  <c r="B71" i="2"/>
  <c r="C71" i="2"/>
  <c r="D71" i="2"/>
  <c r="E71" i="2"/>
  <c r="F71" i="2"/>
  <c r="G71" i="2"/>
  <c r="H71" i="2"/>
  <c r="I71" i="2"/>
  <c r="J71" i="2"/>
  <c r="K71" i="2"/>
  <c r="A72" i="2"/>
  <c r="B72" i="2"/>
  <c r="C72" i="2"/>
  <c r="D72" i="2"/>
  <c r="E72" i="2"/>
  <c r="F72" i="2"/>
  <c r="G72" i="2"/>
  <c r="H72" i="2"/>
  <c r="I72" i="2"/>
  <c r="J72" i="2"/>
  <c r="K72" i="2"/>
  <c r="A73" i="2"/>
  <c r="B73" i="2"/>
  <c r="C73" i="2"/>
  <c r="D73" i="2"/>
  <c r="E73" i="2"/>
  <c r="F73" i="2"/>
  <c r="G73" i="2"/>
  <c r="H73" i="2"/>
  <c r="I73" i="2"/>
  <c r="J73" i="2"/>
  <c r="K73" i="2"/>
  <c r="A74" i="2"/>
  <c r="B74" i="2"/>
  <c r="C74" i="2"/>
  <c r="D74" i="2"/>
  <c r="E74" i="2"/>
  <c r="F74" i="2"/>
  <c r="G74" i="2"/>
  <c r="H74" i="2"/>
  <c r="I74" i="2"/>
  <c r="J74" i="2"/>
  <c r="K74" i="2"/>
  <c r="A75" i="2"/>
  <c r="B75" i="2"/>
  <c r="C75" i="2"/>
  <c r="D75" i="2"/>
  <c r="E75" i="2"/>
  <c r="F75" i="2"/>
  <c r="G75" i="2"/>
  <c r="H75" i="2"/>
  <c r="I75" i="2"/>
  <c r="J75" i="2"/>
  <c r="K75" i="2"/>
  <c r="A76" i="2"/>
  <c r="B76" i="2"/>
  <c r="C76" i="2"/>
  <c r="D76" i="2"/>
  <c r="E76" i="2"/>
  <c r="F76" i="2"/>
  <c r="G76" i="2"/>
  <c r="H76" i="2"/>
  <c r="I76" i="2"/>
  <c r="J76" i="2"/>
  <c r="K76" i="2"/>
  <c r="A77" i="2"/>
  <c r="B77" i="2"/>
  <c r="C77" i="2"/>
  <c r="D77" i="2"/>
  <c r="E77" i="2"/>
  <c r="F77" i="2"/>
  <c r="G77" i="2"/>
  <c r="H77" i="2"/>
  <c r="I77" i="2"/>
  <c r="J77" i="2"/>
  <c r="K77" i="2"/>
  <c r="A78" i="2"/>
  <c r="B78" i="2"/>
  <c r="C78" i="2"/>
  <c r="D78" i="2"/>
  <c r="E78" i="2"/>
  <c r="F78" i="2"/>
  <c r="G78" i="2"/>
  <c r="H78" i="2"/>
  <c r="I78" i="2"/>
  <c r="J78" i="2"/>
  <c r="K78" i="2"/>
  <c r="A79" i="2"/>
  <c r="B79" i="2"/>
  <c r="C79" i="2"/>
  <c r="D79" i="2"/>
  <c r="E79" i="2"/>
  <c r="F79" i="2"/>
  <c r="G79" i="2"/>
  <c r="H79" i="2"/>
  <c r="I79" i="2"/>
  <c r="J79" i="2"/>
  <c r="K79" i="2"/>
  <c r="A80" i="2"/>
  <c r="B80" i="2"/>
  <c r="C80" i="2"/>
  <c r="D80" i="2"/>
  <c r="E80" i="2"/>
  <c r="F80" i="2"/>
  <c r="G80" i="2"/>
  <c r="H80" i="2"/>
  <c r="I80" i="2"/>
  <c r="J80" i="2"/>
  <c r="K80" i="2"/>
  <c r="A81" i="2"/>
  <c r="B81" i="2"/>
  <c r="C81" i="2"/>
  <c r="D81" i="2"/>
  <c r="E81" i="2"/>
  <c r="F81" i="2"/>
  <c r="G81" i="2"/>
  <c r="H81" i="2"/>
  <c r="I81" i="2"/>
  <c r="J81" i="2"/>
  <c r="K81" i="2"/>
  <c r="A82" i="2"/>
  <c r="B82" i="2"/>
  <c r="C82" i="2"/>
  <c r="D82" i="2"/>
  <c r="E82" i="2"/>
  <c r="F82" i="2"/>
  <c r="G82" i="2"/>
  <c r="H82" i="2"/>
  <c r="I82" i="2"/>
  <c r="J82" i="2"/>
  <c r="K82" i="2"/>
  <c r="A83" i="2"/>
  <c r="B83" i="2"/>
  <c r="C83" i="2"/>
  <c r="D83" i="2"/>
  <c r="E83" i="2"/>
  <c r="F83" i="2"/>
  <c r="G83" i="2"/>
  <c r="H83" i="2"/>
  <c r="I83" i="2"/>
  <c r="J83" i="2"/>
  <c r="K83" i="2"/>
  <c r="A84" i="2"/>
  <c r="B84" i="2"/>
  <c r="C84" i="2"/>
  <c r="D84" i="2"/>
  <c r="E84" i="2"/>
  <c r="F84" i="2"/>
  <c r="G84" i="2"/>
  <c r="H84" i="2"/>
  <c r="I84" i="2"/>
  <c r="J84" i="2"/>
  <c r="K84" i="2"/>
  <c r="A19" i="2"/>
  <c r="B19" i="2"/>
  <c r="C19" i="2"/>
  <c r="D19" i="2"/>
  <c r="E19" i="2"/>
  <c r="F19" i="2"/>
  <c r="G19" i="2"/>
  <c r="H19" i="2"/>
  <c r="I19" i="2"/>
  <c r="J19" i="2"/>
  <c r="K19" i="2"/>
  <c r="A86" i="2"/>
  <c r="B86" i="2"/>
  <c r="C86" i="2"/>
  <c r="D86" i="2"/>
  <c r="E86" i="2"/>
  <c r="F86" i="2"/>
  <c r="G86" i="2"/>
  <c r="H86" i="2"/>
  <c r="I86" i="2"/>
  <c r="J86" i="2"/>
  <c r="K86" i="2"/>
  <c r="A87" i="2"/>
  <c r="B87" i="2"/>
  <c r="C87" i="2"/>
  <c r="D87" i="2"/>
  <c r="E87" i="2"/>
  <c r="F87" i="2"/>
  <c r="G87" i="2"/>
  <c r="H87" i="2"/>
  <c r="I87" i="2"/>
  <c r="J87" i="2"/>
  <c r="K87" i="2"/>
  <c r="A88" i="2"/>
  <c r="B88" i="2"/>
  <c r="C88" i="2"/>
  <c r="D88" i="2"/>
  <c r="E88" i="2"/>
  <c r="F88" i="2"/>
  <c r="G88" i="2"/>
  <c r="H88" i="2"/>
  <c r="I88" i="2"/>
  <c r="J88" i="2"/>
  <c r="K88" i="2"/>
  <c r="A89" i="2"/>
  <c r="B89" i="2"/>
  <c r="C89" i="2"/>
  <c r="D89" i="2"/>
  <c r="E89" i="2"/>
  <c r="F89" i="2"/>
  <c r="G89" i="2"/>
  <c r="H89" i="2"/>
  <c r="I89" i="2"/>
  <c r="J89" i="2"/>
  <c r="K89" i="2"/>
  <c r="A90" i="2"/>
  <c r="B90" i="2"/>
  <c r="C90" i="2"/>
  <c r="D90" i="2"/>
  <c r="E90" i="2"/>
  <c r="F90" i="2"/>
  <c r="G90" i="2"/>
  <c r="H90" i="2"/>
  <c r="I90" i="2"/>
  <c r="J90" i="2"/>
  <c r="K90" i="2"/>
  <c r="A91" i="2"/>
  <c r="B91" i="2"/>
  <c r="C91" i="2"/>
  <c r="D91" i="2"/>
  <c r="E91" i="2"/>
  <c r="F91" i="2"/>
  <c r="G91" i="2"/>
  <c r="H91" i="2"/>
  <c r="I91" i="2"/>
  <c r="J91" i="2"/>
  <c r="K91" i="2"/>
  <c r="A92" i="2"/>
  <c r="B92" i="2"/>
  <c r="C92" i="2"/>
  <c r="D92" i="2"/>
  <c r="E92" i="2"/>
  <c r="F92" i="2"/>
  <c r="G92" i="2"/>
  <c r="H92" i="2"/>
  <c r="I92" i="2"/>
  <c r="J92" i="2"/>
  <c r="K92" i="2"/>
  <c r="A93" i="2"/>
  <c r="B93" i="2"/>
  <c r="C93" i="2"/>
  <c r="D93" i="2"/>
  <c r="E93" i="2"/>
  <c r="F93" i="2"/>
  <c r="G93" i="2"/>
  <c r="H93" i="2"/>
  <c r="I93" i="2"/>
  <c r="J93" i="2"/>
  <c r="K93" i="2"/>
  <c r="A94" i="2"/>
  <c r="B94" i="2"/>
  <c r="C94" i="2"/>
  <c r="D94" i="2"/>
  <c r="E94" i="2"/>
  <c r="F94" i="2"/>
  <c r="G94" i="2"/>
  <c r="H94" i="2"/>
  <c r="I94" i="2"/>
  <c r="J94" i="2"/>
  <c r="K94" i="2"/>
  <c r="A95" i="2"/>
  <c r="B95" i="2"/>
  <c r="C95" i="2"/>
  <c r="D95" i="2"/>
  <c r="E95" i="2"/>
  <c r="F95" i="2"/>
  <c r="G95" i="2"/>
  <c r="H95" i="2"/>
  <c r="I95" i="2"/>
  <c r="J95" i="2"/>
  <c r="K95" i="2"/>
  <c r="A96" i="2"/>
  <c r="B96" i="2"/>
  <c r="C96" i="2"/>
  <c r="D96" i="2"/>
  <c r="E96" i="2"/>
  <c r="F96" i="2"/>
  <c r="G96" i="2"/>
  <c r="H96" i="2"/>
  <c r="I96" i="2"/>
  <c r="J96" i="2"/>
  <c r="K96" i="2"/>
  <c r="A97" i="2"/>
  <c r="B97" i="2"/>
  <c r="C97" i="2"/>
  <c r="D97" i="2"/>
  <c r="E97" i="2"/>
  <c r="F97" i="2"/>
  <c r="G97" i="2"/>
  <c r="H97" i="2"/>
  <c r="I97" i="2"/>
  <c r="J97" i="2"/>
  <c r="K97" i="2"/>
  <c r="A98" i="2"/>
  <c r="B98" i="2"/>
  <c r="C98" i="2"/>
  <c r="D98" i="2"/>
  <c r="E98" i="2"/>
  <c r="F98" i="2"/>
  <c r="G98" i="2"/>
  <c r="H98" i="2"/>
  <c r="I98" i="2"/>
  <c r="J98" i="2"/>
  <c r="K98" i="2"/>
  <c r="A99" i="2"/>
  <c r="B99" i="2"/>
  <c r="C99" i="2"/>
  <c r="D99" i="2"/>
  <c r="E99" i="2"/>
  <c r="F99" i="2"/>
  <c r="G99" i="2"/>
  <c r="H99" i="2"/>
  <c r="I99" i="2"/>
  <c r="J99" i="2"/>
  <c r="K99" i="2"/>
  <c r="A100" i="2"/>
  <c r="B100" i="2"/>
  <c r="C100" i="2"/>
  <c r="D100" i="2"/>
  <c r="E100" i="2"/>
  <c r="F100" i="2"/>
  <c r="G100" i="2"/>
  <c r="H100" i="2"/>
  <c r="I100" i="2"/>
  <c r="J100" i="2"/>
  <c r="K100" i="2"/>
  <c r="A101" i="2"/>
  <c r="B101" i="2"/>
  <c r="C101" i="2"/>
  <c r="D101" i="2"/>
  <c r="E101" i="2"/>
  <c r="F101" i="2"/>
  <c r="G101" i="2"/>
  <c r="H101" i="2"/>
  <c r="I101" i="2"/>
  <c r="J101" i="2"/>
  <c r="K101" i="2"/>
  <c r="A102" i="2"/>
  <c r="B102" i="2"/>
  <c r="C102" i="2"/>
  <c r="D102" i="2"/>
  <c r="E102" i="2"/>
  <c r="F102" i="2"/>
  <c r="G102" i="2"/>
  <c r="H102" i="2"/>
  <c r="I102" i="2"/>
  <c r="J102" i="2"/>
  <c r="K102" i="2"/>
  <c r="A103" i="2"/>
  <c r="B103" i="2"/>
  <c r="C103" i="2"/>
  <c r="D103" i="2"/>
  <c r="E103" i="2"/>
  <c r="F103" i="2"/>
  <c r="G103" i="2"/>
  <c r="H103" i="2"/>
  <c r="I103" i="2"/>
  <c r="J103" i="2"/>
  <c r="K103" i="2"/>
  <c r="A104" i="2"/>
  <c r="B104" i="2"/>
  <c r="C104" i="2"/>
  <c r="D104" i="2"/>
  <c r="E104" i="2"/>
  <c r="F104" i="2"/>
  <c r="G104" i="2"/>
  <c r="H104" i="2"/>
  <c r="I104" i="2"/>
  <c r="J104" i="2"/>
  <c r="K104" i="2"/>
  <c r="A105" i="2"/>
  <c r="B105" i="2"/>
  <c r="C105" i="2"/>
  <c r="D105" i="2"/>
  <c r="E105" i="2"/>
  <c r="F105" i="2"/>
  <c r="G105" i="2"/>
  <c r="H105" i="2"/>
  <c r="I105" i="2"/>
  <c r="J105" i="2"/>
  <c r="K105" i="2"/>
  <c r="A106" i="2"/>
  <c r="B106" i="2"/>
  <c r="C106" i="2"/>
  <c r="D106" i="2"/>
  <c r="E106" i="2"/>
  <c r="F106" i="2"/>
  <c r="G106" i="2"/>
  <c r="H106" i="2"/>
  <c r="I106" i="2"/>
  <c r="J106" i="2"/>
  <c r="K106" i="2"/>
  <c r="A20" i="2"/>
  <c r="B20" i="2"/>
  <c r="C20" i="2"/>
  <c r="D20" i="2"/>
  <c r="E20" i="2"/>
  <c r="F20" i="2"/>
  <c r="G20" i="2"/>
  <c r="H20" i="2"/>
  <c r="I20" i="2"/>
  <c r="J20" i="2"/>
  <c r="K20" i="2"/>
  <c r="A21" i="2"/>
  <c r="B21" i="2"/>
  <c r="C21" i="2"/>
  <c r="D21" i="2"/>
  <c r="E21" i="2"/>
  <c r="F21" i="2"/>
  <c r="G21" i="2"/>
  <c r="H21" i="2"/>
  <c r="I21" i="2"/>
  <c r="J21" i="2"/>
  <c r="K21" i="2"/>
  <c r="A109" i="2"/>
  <c r="B109" i="2"/>
  <c r="C109" i="2"/>
  <c r="D109" i="2"/>
  <c r="E109" i="2"/>
  <c r="F109" i="2"/>
  <c r="G109" i="2"/>
  <c r="H109" i="2"/>
  <c r="I109" i="2"/>
  <c r="J109" i="2"/>
  <c r="K109" i="2"/>
  <c r="A110" i="2"/>
  <c r="B110" i="2"/>
  <c r="C110" i="2"/>
  <c r="D110" i="2"/>
  <c r="E110" i="2"/>
  <c r="F110" i="2"/>
  <c r="G110" i="2"/>
  <c r="H110" i="2"/>
  <c r="I110" i="2"/>
  <c r="J110" i="2"/>
  <c r="K110" i="2"/>
  <c r="A22" i="2"/>
  <c r="B22" i="2"/>
  <c r="C22" i="2"/>
  <c r="D22" i="2"/>
  <c r="E22" i="2"/>
  <c r="F22" i="2"/>
  <c r="G22" i="2"/>
  <c r="H22" i="2"/>
  <c r="I22" i="2"/>
  <c r="J22" i="2"/>
  <c r="K22" i="2"/>
  <c r="A112" i="2"/>
  <c r="B112" i="2"/>
  <c r="C112" i="2"/>
  <c r="D112" i="2"/>
  <c r="E112" i="2"/>
  <c r="F112" i="2"/>
  <c r="G112" i="2"/>
  <c r="H112" i="2"/>
  <c r="I112" i="2"/>
  <c r="J112" i="2"/>
  <c r="K112" i="2"/>
  <c r="A113" i="2"/>
  <c r="B113" i="2"/>
  <c r="C113" i="2"/>
  <c r="D113" i="2"/>
  <c r="E113" i="2"/>
  <c r="F113" i="2"/>
  <c r="G113" i="2"/>
  <c r="H113" i="2"/>
  <c r="I113" i="2"/>
  <c r="J113" i="2"/>
  <c r="K113" i="2"/>
  <c r="A114" i="2"/>
  <c r="B114" i="2"/>
  <c r="C114" i="2"/>
  <c r="D114" i="2"/>
  <c r="E114" i="2"/>
  <c r="F114" i="2"/>
  <c r="G114" i="2"/>
  <c r="H114" i="2"/>
  <c r="I114" i="2"/>
  <c r="J114" i="2"/>
  <c r="K114" i="2"/>
</calcChain>
</file>

<file path=xl/sharedStrings.xml><?xml version="1.0" encoding="utf-8"?>
<sst xmlns="http://schemas.openxmlformats.org/spreadsheetml/2006/main" count="19" uniqueCount="17">
  <si>
    <t>bono</t>
  </si>
  <si>
    <t>tahvil</t>
  </si>
  <si>
    <t>vade</t>
  </si>
  <si>
    <t>fiyat</t>
  </si>
  <si>
    <t>kupon1</t>
  </si>
  <si>
    <t>tutar1</t>
  </si>
  <si>
    <t>kupon2</t>
  </si>
  <si>
    <t>tutar2</t>
  </si>
  <si>
    <t>kupon3</t>
  </si>
  <si>
    <t>tutar3</t>
  </si>
  <si>
    <t>repo</t>
  </si>
  <si>
    <t>hedef_vade</t>
  </si>
  <si>
    <t>valör</t>
  </si>
  <si>
    <t>isin</t>
  </si>
  <si>
    <t>symbol</t>
  </si>
  <si>
    <t>aof</t>
  </si>
  <si>
    <t>avsp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</si>
</sst>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6" formatCode="_(* #,##0_);_(* \(#,##0\);_(* &quot;-&quot;??_);_(@_)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  <xf numFmtId="166" fontId="0" fillId="0" borderId="0" xfId="1" applyNumberFormat="1" applyFon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ddeLink xmlns:r="http://schemas.openxmlformats.org/officeDocument/2006/relationships" ddeService="MTX" ddeTopic="DATA">
    <ddeItems>
      <ddeItem name="PAGE.2.1.1" advise="1">
        <values>
          <value t="str">
            <val>15/12</val>
          </value>
        </values>
      </ddeItem>
      <ddeItem name="PAGE.2.1.10" advise="1">
        <values>
          <value>
            <val>111.883</val>
          </value>
        </values>
      </ddeItem>
      <ddeItem name="PAGE.2.1.11" advise="1">
        <values>
          <value t="str">
            <val>TRT180226T16_KESN_T0</val>
          </value>
        </values>
      </ddeItem>
      <ddeItem name="PAGE.2.1.2" advise="1">
        <values>
          <value t="str">
            <val>TRT180226T16</val>
          </value>
        </values>
      </ddeItem>
      <ddeItem name="PAGE.2.1.3" advise="1">
        <values>
          <value>
            <val>99.99</val>
          </value>
        </values>
      </ddeItem>
      <ddeItem name="PAGE.2.1.4" advise="1">
        <values>
          <value>
            <val>33.21</val>
          </value>
        </values>
      </ddeItem>
      <ddeItem name="PAGE.2.1.5" advise="1">
        <values>
          <value>
            <val>38.08</val>
          </value>
        </values>
      </ddeItem>
      <ddeItem name="PAGE.2.1.6" advise="1">
        <values>
          <value>
            <val>815000000</val>
          </value>
        </values>
      </ddeItem>
      <ddeItem name="PAGE.2.1.7" advise="1">
        <values>
          <value t="str">
            <val>12:37:24</val>
          </value>
        </values>
      </ddeItem>
      <ddeItem name="PAGE.2.1.8" advise="1">
        <values>
          <value>
            <val>911846585.70000005</val>
          </value>
        </values>
      </ddeItem>
      <ddeItem name="PAGE.2.1.9" advise="1">
        <values>
          <value>
            <val>11.892857143000001</val>
          </value>
        </values>
      </ddeItem>
      <ddeItem name="PAGE.2.100.1" advise="1">
        <values>
          <value t="str">
            <val>15/12</val>
          </value>
        </values>
      </ddeItem>
      <ddeItem name="PAGE.2.100.10" advise="1">
        <values>
          <value>
            <val>106.727</val>
          </value>
        </values>
      </ddeItem>
      <ddeItem name="PAGE.2.100.11" advise="1">
        <values>
          <value t="str">
            <val>TRDEMVK12651_KESN_T0</val>
          </value>
        </values>
      </ddeItem>
      <ddeItem name="PAGE.2.100.2" advise="1">
        <values>
          <value t="str">
            <val>TRDEMVK12651</val>
          </value>
        </values>
      </ddeItem>
      <ddeItem name="PAGE.2.100.3" advise="1">
        <values>
          <value>
            <val>100.18</val>
          </value>
        </values>
      </ddeItem>
      <ddeItem name="PAGE.2.100.4" advise="1">
        <values>
          <value>
            <val>36.61</val>
          </value>
        </values>
      </ddeItem>
      <ddeItem name="PAGE.2.100.5" advise="1">
        <values>
          <value>
            <val>43.03</val>
          </value>
        </values>
      </ddeItem>
      <ddeItem name="PAGE.2.100.6" advise="1">
        <values>
          <value>
            <val>20000000</val>
          </value>
        </values>
      </ddeItem>
      <ddeItem name="PAGE.2.100.7" advise="1">
        <values>
          <value t="str">
            <val>12:22:10</val>
          </value>
        </values>
      </ddeItem>
      <ddeItem name="PAGE.2.100.8" advise="1">
        <values>
          <value>
            <val>21345314.52</val>
          </value>
        </values>
      </ddeItem>
      <ddeItem name="PAGE.2.100.9" advise="1">
        <values>
          <value>
            <val>6.5465725709999996</val>
          </value>
        </values>
      </ddeItem>
      <ddeItem name="PAGE.2.101.1" advise="1">
        <values>
          <value t="str">
            <val>15/12</val>
          </value>
        </values>
      </ddeItem>
      <ddeItem name="PAGE.2.101.10" advise="1">
        <values>
          <value t="str">
            <val/>
          </value>
        </values>
      </ddeItem>
      <ddeItem name="PAGE.2.101.11" advise="1">
        <values>
          <value t="str">
            <val>TRDKTSK22625_KESN_T0</val>
          </value>
        </values>
      </ddeItem>
      <ddeItem name="PAGE.2.101.2" advise="1">
        <values>
          <value t="str">
            <val>TRDKTSK22625</val>
          </value>
        </values>
      </ddeItem>
      <ddeItem name="PAGE.2.101.3" advise="1">
        <values>
          <value t="str">
            <val/>
          </value>
        </values>
      </ddeItem>
      <ddeItem name="PAGE.2.101.4" advise="1">
        <values>
          <value t="str">
            <val/>
          </value>
        </values>
      </ddeItem>
      <ddeItem name="PAGE.2.101.5" advise="1">
        <values>
          <value t="str">
            <val/>
          </value>
        </values>
      </ddeItem>
      <ddeItem name="PAGE.2.101.6" advise="1">
        <values>
          <value t="str">
            <val/>
          </value>
        </values>
      </ddeItem>
      <ddeItem name="PAGE.2.101.7" advise="1">
        <values>
          <value t="str">
            <val>11:47:26</val>
          </value>
        </values>
      </ddeItem>
      <ddeItem name="PAGE.2.101.8" advise="1">
        <values>
          <value t="str">
            <val/>
          </value>
        </values>
      </ddeItem>
      <ddeItem name="PAGE.2.101.9" advise="1">
        <values>
          <value>
            <val>12.887673846</val>
          </value>
        </values>
      </ddeItem>
      <ddeItem name="PAGE.2.102.1" advise="1">
        <values>
          <value t="str">
            <val>15/12</val>
          </value>
        </values>
      </ddeItem>
      <ddeItem name="PAGE.2.102.10" advise="1">
        <values>
          <value t="str">
            <val/>
          </value>
        </values>
      </ddeItem>
      <ddeItem name="PAGE.2.102.11" advise="1">
        <values>
          <value t="str">
            <val>TRDEVKS22624_KESN_T0</val>
          </value>
        </values>
      </ddeItem>
      <ddeItem name="PAGE.2.102.2" advise="1">
        <values>
          <value t="str">
            <val>TRDEVKS22624</val>
          </value>
        </values>
      </ddeItem>
      <ddeItem name="PAGE.2.102.3" advise="1">
        <values>
          <value t="str">
            <val/>
          </value>
        </values>
      </ddeItem>
      <ddeItem name="PAGE.2.102.4" advise="1">
        <values>
          <value t="str">
            <val/>
          </value>
        </values>
      </ddeItem>
      <ddeItem name="PAGE.2.102.5" advise="1">
        <values>
          <value t="str">
            <val/>
          </value>
        </values>
      </ddeItem>
      <ddeItem name="PAGE.2.102.6" advise="1">
        <values>
          <value t="str">
            <val/>
          </value>
        </values>
      </ddeItem>
      <ddeItem name="PAGE.2.102.7" advise="1">
        <values>
          <value t="str">
            <val>11:47:19</val>
          </value>
        </values>
      </ddeItem>
      <ddeItem name="PAGE.2.102.8" advise="1">
        <values>
          <value t="str">
            <val/>
          </value>
        </values>
      </ddeItem>
      <ddeItem name="PAGE.2.102.9" advise="1">
        <values>
          <value>
            <val>4.6232859380000004</val>
          </value>
        </values>
      </ddeItem>
      <ddeItem name="PAGE.2.104.1" advise="1">
        <values>
          <value t="str">
            <val>15/12</val>
          </value>
        </values>
      </ddeItem>
      <ddeItem name="PAGE.2.104.10" advise="1">
        <values>
          <value>
            <val>104.408</val>
          </value>
        </values>
      </ddeItem>
      <ddeItem name="PAGE.2.104.11" advise="1">
        <values>
          <value t="str">
            <val>TRDEMVK62714_KESN_T0</val>
          </value>
        </values>
      </ddeItem>
      <ddeItem name="PAGE.2.104.2" advise="1">
        <values>
          <value t="str">
            <val>TRDEMVK62714</val>
          </value>
        </values>
      </ddeItem>
      <ddeItem name="PAGE.2.104.3" advise="1">
        <values>
          <value>
            <val>104.408</val>
          </value>
        </values>
      </ddeItem>
      <ddeItem name="PAGE.2.104.4" advise="1">
        <values>
          <value t="str">
            <val/>
          </value>
        </values>
      </ddeItem>
      <ddeItem name="PAGE.2.104.5" advise="1">
        <values>
          <value t="str">
            <val/>
          </value>
        </values>
      </ddeItem>
      <ddeItem name="PAGE.2.104.6" advise="1">
        <values>
          <value>
            <val>67000000</val>
          </value>
        </values>
      </ddeItem>
      <ddeItem name="PAGE.2.104.7" advise="1">
        <values>
          <value t="str">
            <val>11:06:53</val>
          </value>
        </values>
      </ddeItem>
      <ddeItem name="PAGE.2.104.8" advise="1">
        <values>
          <value>
            <val>69953360</val>
          </value>
        </values>
      </ddeItem>
      <ddeItem name="PAGE.2.104.9" advise="1">
        <values>
          <value t="str">
            <val/>
          </value>
        </values>
      </ddeItem>
      <ddeItem name="PAGE.2.107.1" advise="1">
        <values>
          <value t="str">
            <val>15/12</val>
          </value>
        </values>
      </ddeItem>
      <ddeItem name="PAGE.2.107.10" advise="1">
        <values>
          <value>
            <val>5980</val>
          </value>
        </values>
      </ddeItem>
      <ddeItem name="PAGE.2.107.11" advise="1">
        <values>
          <value t="str">
            <val>TRD180326T13_KESN_T0</val>
          </value>
        </values>
      </ddeItem>
      <ddeItem name="PAGE.2.107.2" advise="1">
        <values>
          <value t="str">
            <val>TRD180326T13</val>
          </value>
        </values>
      </ddeItem>
      <ddeItem name="PAGE.2.107.3" advise="1">
        <values>
          <value>
            <val>5980</val>
          </value>
        </values>
      </ddeItem>
      <ddeItem name="PAGE.2.107.4" advise="1">
        <values>
          <value t="str">
            <val/>
          </value>
        </values>
      </ddeItem>
      <ddeItem name="PAGE.2.107.5" advise="1">
        <values>
          <value t="str">
            <val/>
          </value>
        </values>
      </ddeItem>
      <ddeItem name="PAGE.2.107.6" advise="1">
        <values>
          <value>
            <val>7960</val>
          </value>
        </values>
      </ddeItem>
      <ddeItem name="PAGE.2.107.7" advise="1">
        <values>
          <value t="str">
            <val>12:04:05</val>
          </value>
        </values>
      </ddeItem>
      <ddeItem name="PAGE.2.107.8" advise="1">
        <values>
          <value>
            <val>47600800</val>
          </value>
        </values>
      </ddeItem>
      <ddeItem name="PAGE.2.107.9" advise="1">
        <values>
          <value t="str">
            <val/>
          </value>
        </values>
      </ddeItem>
      <ddeItem name="PAGE.2.108.1" advise="1">
        <values>
          <value t="str">
            <val>15/12</val>
          </value>
        </values>
      </ddeItem>
      <ddeItem name="PAGE.2.108.10" advise="1">
        <values>
          <value>
            <val>5985</val>
          </value>
        </values>
      </ddeItem>
      <ddeItem name="PAGE.2.108.11" advise="1">
        <values>
          <value t="str">
            <val>TRD180226T14_KESN_T0</val>
          </value>
        </values>
      </ddeItem>
      <ddeItem name="PAGE.2.108.2" advise="1">
        <values>
          <value t="str">
            <val>TRD180226T14</val>
          </value>
        </values>
      </ddeItem>
      <ddeItem name="PAGE.2.108.3" advise="1">
        <values>
          <value>
            <val>5985</val>
          </value>
        </values>
      </ddeItem>
      <ddeItem name="PAGE.2.108.4" advise="1">
        <values>
          <value t="str">
            <val/>
          </value>
        </values>
      </ddeItem>
      <ddeItem name="PAGE.2.108.5" advise="1">
        <values>
          <value t="str">
            <val/>
          </value>
        </values>
      </ddeItem>
      <ddeItem name="PAGE.2.108.6" advise="1">
        <values>
          <value>
            <val>5970</val>
          </value>
        </values>
      </ddeItem>
      <ddeItem name="PAGE.2.108.7" advise="1">
        <values>
          <value t="str">
            <val>12:03:45</val>
          </value>
        </values>
      </ddeItem>
      <ddeItem name="PAGE.2.108.8" advise="1">
        <values>
          <value>
            <val>35730450</val>
          </value>
        </values>
      </ddeItem>
      <ddeItem name="PAGE.2.108.9" advise="1">
        <values>
          <value t="str">
            <val/>
          </value>
        </values>
      </ddeItem>
      <ddeItem name="PAGE.2.109.1" advise="1">
        <values>
          <value t="str">
            <val>15/12</val>
          </value>
        </values>
      </ddeItem>
      <ddeItem name="PAGE.2.109.10" advise="1">
        <values>
          <value t="str">
            <val/>
          </value>
        </values>
      </ddeItem>
      <ddeItem name="PAGE.2.109.11" advise="1">
        <values>
          <value t="str">
            <val>TRSZORN52617_KESN_T0</val>
          </value>
        </values>
      </ddeItem>
      <ddeItem name="PAGE.2.109.2" advise="1">
        <values>
          <value t="str">
            <val>TRSZORN52617</val>
          </value>
        </values>
      </ddeItem>
      <ddeItem name="PAGE.2.109.3" advise="1">
        <values>
          <value t="str">
            <val/>
          </value>
        </values>
      </ddeItem>
      <ddeItem name="PAGE.2.109.4" advise="1">
        <values>
          <value t="str">
            <val/>
          </value>
        </values>
      </ddeItem>
      <ddeItem name="PAGE.2.109.5" advise="1">
        <values>
          <value t="str">
            <val/>
          </value>
        </values>
      </ddeItem>
      <ddeItem name="PAGE.2.109.6" advise="1">
        <values>
          <value t="str">
            <val/>
          </value>
        </values>
      </ddeItem>
      <ddeItem name="PAGE.2.109.7" advise="1">
        <values>
          <value t="str">
            <val>13:48:25</val>
          </value>
        </values>
      </ddeItem>
      <ddeItem name="PAGE.2.109.8" advise="1">
        <values>
          <value t="str">
            <val/>
          </value>
        </values>
      </ddeItem>
      <ddeItem name="PAGE.2.109.9" advise="1">
        <values>
          <value>
            <val>0.56987586199999996</val>
          </value>
        </values>
      </ddeItem>
      <ddeItem name="PAGE.2.11.1" advise="1">
        <values>
          <value t="str">
            <val>15/12</val>
          </value>
        </values>
      </ddeItem>
      <ddeItem name="PAGE.2.11.10" advise="1">
        <values>
          <value t="str">
            <val/>
          </value>
        </values>
      </ddeItem>
      <ddeItem name="PAGE.2.11.11" advise="1">
        <values>
          <value t="str">
            <val>TRT050527T33_KESN_T0</val>
          </value>
        </values>
      </ddeItem>
      <ddeItem name="PAGE.2.11.2" advise="1">
        <values>
          <value t="str">
            <val>TRT050527T33</val>
          </value>
        </values>
      </ddeItem>
      <ddeItem name="PAGE.2.11.3" advise="1">
        <values>
          <value t="str">
            <val/>
          </value>
        </values>
      </ddeItem>
      <ddeItem name="PAGE.2.11.4" advise="1">
        <values>
          <value t="str">
            <val/>
          </value>
        </values>
      </ddeItem>
      <ddeItem name="PAGE.2.11.5" advise="1">
        <values>
          <value t="str">
            <val/>
          </value>
        </values>
      </ddeItem>
      <ddeItem name="PAGE.2.11.6" advise="1">
        <values>
          <value t="str">
            <val/>
          </value>
        </values>
      </ddeItem>
      <ddeItem name="PAGE.2.11.7" advise="1">
        <values>
          <value t="str">
            <val>10:08:07</val>
          </value>
        </values>
      </ddeItem>
      <ddeItem name="PAGE.2.11.8" advise="1">
        <values>
          <value t="str">
            <val/>
          </value>
        </values>
      </ddeItem>
      <ddeItem name="PAGE.2.11.9" advise="1">
        <values>
          <value>
            <val>4.5054945049999997</val>
          </value>
        </values>
      </ddeItem>
      <ddeItem name="PAGE.2.112.1" advise="1">
        <values>
          <value t="str">
            <val>15/12</val>
          </value>
        </values>
      </ddeItem>
      <ddeItem name="PAGE.2.112.10" advise="1">
        <values>
          <value t="str">
            <val/>
          </value>
        </values>
      </ddeItem>
      <ddeItem name="PAGE.2.112.11" advise="1">
        <values>
          <value t="str">
            <val>TRT130928T12_KESN_T0</val>
          </value>
        </values>
      </ddeItem>
      <ddeItem name="PAGE.2.112.2" advise="1">
        <values>
          <value t="str">
            <val>TRT130928T12</val>
          </value>
        </values>
      </ddeItem>
      <ddeItem name="PAGE.2.112.3" advise="1">
        <values>
          <value t="str">
            <val/>
          </value>
        </values>
      </ddeItem>
      <ddeItem name="PAGE.2.112.4" advise="1">
        <values>
          <value t="str">
            <val/>
          </value>
        </values>
      </ddeItem>
      <ddeItem name="PAGE.2.112.5" advise="1">
        <values>
          <value t="str">
            <val/>
          </value>
        </values>
      </ddeItem>
      <ddeItem name="PAGE.2.112.6" advise="1">
        <values>
          <value t="str">
            <val/>
          </value>
        </values>
      </ddeItem>
      <ddeItem name="PAGE.2.112.7" advise="1">
        <values>
          <value t="str">
            <val>10:49:38</val>
          </value>
        </values>
      </ddeItem>
      <ddeItem name="PAGE.2.112.8" advise="1">
        <values>
          <value t="str">
            <val/>
          </value>
        </values>
      </ddeItem>
      <ddeItem name="PAGE.2.112.9" advise="1">
        <values>
          <value>
            <val>9.261868132</val>
          </value>
        </values>
      </ddeItem>
      <ddeItem name="PAGE.2.113.1" advise="1">
        <values>
          <value t="str">
            <val>15/12</val>
          </value>
        </values>
      </ddeItem>
      <ddeItem name="PAGE.2.113.10" advise="1">
        <values>
          <value t="str">
            <val/>
          </value>
        </values>
      </ddeItem>
      <ddeItem name="PAGE.2.113.11" advise="1">
        <values>
          <value t="str">
            <val>TRFTCMD32624_KESN_T0</val>
          </value>
        </values>
      </ddeItem>
      <ddeItem name="PAGE.2.113.2" advise="1">
        <values>
          <value t="str">
            <val>TRFTCMD32624</val>
          </value>
        </values>
      </ddeItem>
      <ddeItem name="PAGE.2.113.3" advise="1">
        <values>
          <value t="str">
            <val/>
          </value>
        </values>
      </ddeItem>
      <ddeItem name="PAGE.2.113.4" advise="1">
        <values>
          <value t="str">
            <val/>
          </value>
        </values>
      </ddeItem>
      <ddeItem name="PAGE.2.113.5" advise="1">
        <values>
          <value t="str">
            <val/>
          </value>
        </values>
      </ddeItem>
      <ddeItem name="PAGE.2.113.6" advise="1">
        <values>
          <value t="str">
            <val/>
          </value>
        </values>
      </ddeItem>
      <ddeItem name="PAGE.2.113.7" advise="1">
        <values>
          <value t="str">
            <val>10:55:37</val>
          </value>
        </values>
      </ddeItem>
      <ddeItem name="PAGE.2.113.8" advise="1">
        <values>
          <value t="str">
            <val/>
          </value>
        </values>
      </ddeItem>
      <ddeItem name="PAGE.2.113.9" advise="1">
        <values>
          <value t="str">
            <val/>
          </value>
        </values>
      </ddeItem>
      <ddeItem name="PAGE.2.116.1" advise="1">
        <values>
          <value t="str">
            <val>15/12</val>
          </value>
        </values>
      </ddeItem>
      <ddeItem name="PAGE.2.116.10" advise="1">
        <values>
          <value t="str">
            <val/>
          </value>
        </values>
      </ddeItem>
      <ddeItem name="PAGE.2.116.11" advise="1">
        <values>
          <value t="str">
            <val>TRFTCMD42615_KESN_T0</val>
          </value>
        </values>
      </ddeItem>
      <ddeItem name="PAGE.2.116.2" advise="1">
        <values>
          <value t="str">
            <val>TRFTCMD42615</val>
          </value>
        </values>
      </ddeItem>
      <ddeItem name="PAGE.2.116.3" advise="1">
        <values>
          <value t="str">
            <val/>
          </value>
        </values>
      </ddeItem>
      <ddeItem name="PAGE.2.116.4" advise="1">
        <values>
          <value t="str">
            <val/>
          </value>
        </values>
      </ddeItem>
      <ddeItem name="PAGE.2.116.5" advise="1">
        <values>
          <value t="str">
            <val/>
          </value>
        </values>
      </ddeItem>
      <ddeItem name="PAGE.2.116.6" advise="1">
        <values>
          <value t="str">
            <val/>
          </value>
        </values>
      </ddeItem>
      <ddeItem name="PAGE.2.116.7" advise="1">
        <values>
          <value t="str">
            <val>11:01:16</val>
          </value>
        </values>
      </ddeItem>
      <ddeItem name="PAGE.2.116.8" advise="1">
        <values>
          <value t="str">
            <val/>
          </value>
        </values>
      </ddeItem>
      <ddeItem name="PAGE.2.116.9" advise="1">
        <values>
          <value t="str">
            <val/>
          </value>
        </values>
      </ddeItem>
      <ddeItem name="PAGE.2.119.1" advise="1">
        <values>
          <value t="str">
            <val>15/12</val>
          </value>
        </values>
      </ddeItem>
      <ddeItem name="PAGE.2.119.10" advise="1">
        <values>
          <value>
            <val>50.081000000000003</val>
          </value>
        </values>
      </ddeItem>
      <ddeItem name="PAGE.2.119.11" advise="1">
        <values>
          <value t="str">
            <val>TRD230233T18_KESN_T0</val>
          </value>
        </values>
      </ddeItem>
      <ddeItem name="PAGE.2.119.2" advise="1">
        <values>
          <value t="str">
            <val>TRD230233T18</val>
          </value>
        </values>
      </ddeItem>
      <ddeItem name="PAGE.2.119.3" advise="1">
        <values>
          <value>
            <val>46.85</val>
          </value>
        </values>
      </ddeItem>
      <ddeItem name="PAGE.2.119.4" advise="1">
        <values>
          <value>
            <val>29.61</val>
          </value>
        </values>
      </ddeItem>
      <ddeItem name="PAGE.2.119.5" advise="1">
        <values>
          <value>
            <val>31.8</val>
          </value>
        </values>
      </ddeItem>
      <ddeItem name="PAGE.2.119.6" advise="1">
        <values>
          <value>
            <val>110000</val>
          </value>
        </values>
      </ddeItem>
      <ddeItem name="PAGE.2.119.7" advise="1">
        <values>
          <value t="str">
            <val>11:39:53</val>
          </value>
        </values>
      </ddeItem>
      <ddeItem name="PAGE.2.119.8" advise="1">
        <values>
          <value>
            <val>55089.63</val>
          </value>
        </values>
      </ddeItem>
      <ddeItem name="PAGE.2.119.9" advise="1">
        <values>
          <value>
            <val>3.2314835159999999</val>
          </value>
        </values>
      </ddeItem>
      <ddeItem name="PAGE.2.12.1" advise="1">
        <values>
          <value t="str">
            <val>15/12</val>
          </value>
        </values>
      </ddeItem>
      <ddeItem name="PAGE.2.12.10" advise="1">
        <values>
          <value>
            <val>110.581</val>
          </value>
        </values>
      </ddeItem>
      <ddeItem name="PAGE.2.12.11" advise="1">
        <values>
          <value t="str">
            <val>TRT021030T18_KESN_T0</val>
          </value>
        </values>
      </ddeItem>
      <ddeItem name="PAGE.2.12.2" advise="1">
        <values>
          <value t="str">
            <val>TRT021030T18</val>
          </value>
        </values>
      </ddeItem>
      <ddeItem name="PAGE.2.12.3" advise="1">
        <values>
          <value>
            <val>104.248</val>
          </value>
        </values>
      </ddeItem>
      <ddeItem name="PAGE.2.12.4" advise="1">
        <values>
          <value>
            <val>31.99</val>
          </value>
        </values>
      </ddeItem>
      <ddeItem name="PAGE.2.12.5" advise="1">
        <values>
          <value>
            <val>34.549999999999997</val>
          </value>
        </values>
      </ddeItem>
      <ddeItem name="PAGE.2.12.6" advise="1">
        <values>
          <value>
            <val>34000000</val>
          </value>
        </values>
      </ddeItem>
      <ddeItem name="PAGE.2.12.7" advise="1">
        <values>
          <value t="str">
            <val>13:30:10</val>
          </value>
        </values>
      </ddeItem>
      <ddeItem name="PAGE.2.12.8" advise="1">
        <values>
          <value>
            <val>37597458.780000001</val>
          </value>
        </values>
      </ddeItem>
      <ddeItem name="PAGE.2.12.9" advise="1">
        <values>
          <value>
            <val>6.3329670330000001</val>
          </value>
        </values>
      </ddeItem>
      <ddeItem name="PAGE.2.120.1" advise="1">
        <values>
          <value t="str">
            <val>15/12</val>
          </value>
        </values>
      </ddeItem>
      <ddeItem name="PAGE.2.120.10" advise="1">
        <values>
          <value>
            <val>68.165999999999997</val>
          </value>
        </values>
      </ddeItem>
      <ddeItem name="PAGE.2.120.11" advise="1">
        <values>
          <value t="str">
            <val>TRD190128T12_KESN_T0</val>
          </value>
        </values>
      </ddeItem>
      <ddeItem name="PAGE.2.120.2" advise="1">
        <values>
          <value t="str">
            <val>TRD190128T12</val>
          </value>
        </values>
      </ddeItem>
      <ddeItem name="PAGE.2.120.3" advise="1">
        <values>
          <value>
            <val>64.349999999999994</val>
          </value>
        </values>
      </ddeItem>
      <ddeItem name="PAGE.2.120.4" advise="1">
        <values>
          <value>
            <val>34.840000000000003</val>
          </value>
        </values>
      </ddeItem>
      <ddeItem name="PAGE.2.120.5" advise="1">
        <values>
          <value>
            <val>37.869999999999997</val>
          </value>
        </values>
      </ddeItem>
      <ddeItem name="PAGE.2.120.6" advise="1">
        <values>
          <value>
            <val>150000</val>
          </value>
        </values>
      </ddeItem>
      <ddeItem name="PAGE.2.120.7" advise="1">
        <values>
          <value t="str">
            <val>11:40:06</val>
          </value>
        </values>
      </ddeItem>
      <ddeItem name="PAGE.2.120.8" advise="1">
        <values>
          <value>
            <val>102249.31</val>
          </value>
        </values>
      </ddeItem>
      <ddeItem name="PAGE.2.120.9" advise="1">
        <values>
          <value>
            <val>3.8162087910000002</val>
          </value>
        </values>
      </ddeItem>
      <ddeItem name="PAGE.2.122.1" advise="1">
        <values>
          <value t="str">
            <val>15/12</val>
          </value>
        </values>
      </ddeItem>
      <ddeItem name="PAGE.2.122.10" advise="1">
        <values>
          <value>
            <val>74.245000000000005</val>
          </value>
        </values>
      </ddeItem>
      <ddeItem name="PAGE.2.122.11" advise="1">
        <values>
          <value t="str">
            <val>TRD230632T15_KESN_T0</val>
          </value>
        </values>
      </ddeItem>
      <ddeItem name="PAGE.2.122.2" advise="1">
        <values>
          <value t="str">
            <val>TRD230632T15</val>
          </value>
        </values>
      </ddeItem>
      <ddeItem name="PAGE.2.122.3" advise="1">
        <values>
          <value>
            <val>66</val>
          </value>
        </values>
      </ddeItem>
      <ddeItem name="PAGE.2.122.4" advise="1">
        <values>
          <value>
            <val>30.29</val>
          </value>
        </values>
      </ddeItem>
      <ddeItem name="PAGE.2.122.5" advise="1">
        <values>
          <value>
            <val>32.58</val>
          </value>
        </values>
      </ddeItem>
      <ddeItem name="PAGE.2.122.6" advise="1">
        <values>
          <value>
            <val>150000</val>
          </value>
        </values>
      </ddeItem>
      <ddeItem name="PAGE.2.122.7" advise="1">
        <values>
          <value t="str">
            <val>11:40:17</val>
          </value>
        </values>
      </ddeItem>
      <ddeItem name="PAGE.2.122.8" advise="1">
        <values>
          <value>
            <val>111367.91</val>
          </value>
        </values>
      </ddeItem>
      <ddeItem name="PAGE.2.122.9" advise="1">
        <values>
          <value>
            <val>8.2452747249999998</val>
          </value>
        </values>
      </ddeItem>
      <ddeItem name="PAGE.2.123.1" advise="1">
        <values>
          <value t="str">
            <val>15/12</val>
          </value>
        </values>
      </ddeItem>
      <ddeItem name="PAGE.2.123.10" advise="1">
        <values>
          <value t="str">
            <val/>
          </value>
        </values>
      </ddeItem>
      <ddeItem name="PAGE.2.123.11" advise="1">
        <values>
          <value t="str">
            <val>TRD161226T14_KESN_T0</val>
          </value>
        </values>
      </ddeItem>
      <ddeItem name="PAGE.2.123.2" advise="1">
        <values>
          <value t="str">
            <val>TRD161226T14</val>
          </value>
        </values>
      </ddeItem>
      <ddeItem name="PAGE.2.123.3" advise="1">
        <values>
          <value t="str">
            <val/>
          </value>
        </values>
      </ddeItem>
      <ddeItem name="PAGE.2.123.4" advise="1">
        <values>
          <value t="str">
            <val/>
          </value>
        </values>
      </ddeItem>
      <ddeItem name="PAGE.2.123.5" advise="1">
        <values>
          <value t="str">
            <val/>
          </value>
        </values>
      </ddeItem>
      <ddeItem name="PAGE.2.123.6" advise="1">
        <values>
          <value t="str">
            <val/>
          </value>
        </values>
      </ddeItem>
      <ddeItem name="PAGE.2.123.7" advise="1">
        <values>
          <value t="str">
            <val>11:24:34</val>
          </value>
        </values>
      </ddeItem>
      <ddeItem name="PAGE.2.123.8" advise="1">
        <values>
          <value t="str">
            <val/>
          </value>
        </values>
      </ddeItem>
      <ddeItem name="PAGE.2.123.9" advise="1">
        <values>
          <value>
            <val>18.296703297000001</val>
          </value>
        </values>
      </ddeItem>
      <ddeItem name="PAGE.2.125.1" advise="1">
        <values>
          <value t="str">
            <val>15/12</val>
          </value>
        </values>
      </ddeItem>
      <ddeItem name="PAGE.2.125.10" advise="1">
        <values>
          <value>
            <val>104.08</val>
          </value>
        </values>
      </ddeItem>
      <ddeItem name="PAGE.2.125.11" advise="1">
        <values>
          <value t="str">
            <val>TRDZKVK22618_KESN_T0</val>
          </value>
        </values>
      </ddeItem>
      <ddeItem name="PAGE.2.125.2" advise="1">
        <values>
          <value t="str">
            <val>TRDZKVK22618</val>
          </value>
        </values>
      </ddeItem>
      <ddeItem name="PAGE.2.125.3" advise="1">
        <values>
          <value>
            <val>99.915999999999997</val>
          </value>
        </values>
      </ddeItem>
      <ddeItem name="PAGE.2.125.4" advise="1">
        <values>
          <value>
            <val>37</val>
          </value>
        </values>
      </ddeItem>
      <ddeItem name="PAGE.2.125.5" advise="1">
        <values>
          <value>
            <val>43.22</val>
          </value>
        </values>
      </ddeItem>
      <ddeItem name="PAGE.2.125.6" advise="1">
        <values>
          <value>
            <val>50000000</val>
          </value>
        </values>
      </ddeItem>
      <ddeItem name="PAGE.2.125.7" advise="1">
        <values>
          <value t="str">
            <val>11:46:30</val>
          </value>
        </values>
      </ddeItem>
      <ddeItem name="PAGE.2.125.8" advise="1">
        <values>
          <value>
            <val>52040192</val>
          </value>
        </values>
      </ddeItem>
      <ddeItem name="PAGE.2.125.9" advise="1">
        <values>
          <value>
            <val>4.1643840000000001</val>
          </value>
        </values>
      </ddeItem>
      <ddeItem name="PAGE.2.127.1" advise="1">
        <values>
          <value t="str">
            <val>15/12</val>
          </value>
        </values>
      </ddeItem>
      <ddeItem name="PAGE.2.127.10" advise="1">
        <values>
          <value t="str">
            <val/>
          </value>
        </values>
      </ddeItem>
      <ddeItem name="PAGE.2.127.11" advise="1">
        <values>
          <value t="str">
            <val>TRFALVS12618_KESN_T0</val>
          </value>
        </values>
      </ddeItem>
      <ddeItem name="PAGE.2.127.2" advise="1">
        <values>
          <value t="str">
            <val>TRFALVS12618</val>
          </value>
        </values>
      </ddeItem>
      <ddeItem name="PAGE.2.127.3" advise="1">
        <values>
          <value t="str">
            <val/>
          </value>
        </values>
      </ddeItem>
      <ddeItem name="PAGE.2.127.4" advise="1">
        <values>
          <value t="str">
            <val/>
          </value>
        </values>
      </ddeItem>
      <ddeItem name="PAGE.2.127.5" advise="1">
        <values>
          <value t="str">
            <val/>
          </value>
        </values>
      </ddeItem>
      <ddeItem name="PAGE.2.127.6" advise="1">
        <values>
          <value t="str">
            <val/>
          </value>
        </values>
      </ddeItem>
      <ddeItem name="PAGE.2.127.7" advise="1">
        <values>
          <value t="str">
            <val>11:46:48</val>
          </value>
        </values>
      </ddeItem>
      <ddeItem name="PAGE.2.127.8" advise="1">
        <values>
          <value t="str">
            <val/>
          </value>
        </values>
      </ddeItem>
      <ddeItem name="PAGE.2.127.9" advise="1">
        <values>
          <value>
            <val>11.321945238</val>
          </value>
        </values>
      </ddeItem>
      <ddeItem name="PAGE.2.128.1" advise="1">
        <values>
          <value t="str">
            <val>15/12</val>
          </value>
        </values>
      </ddeItem>
      <ddeItem name="PAGE.2.128.10" advise="1">
        <values>
          <value t="str">
            <val/>
          </value>
        </values>
      </ddeItem>
      <ddeItem name="PAGE.2.128.11" advise="1">
        <values>
          <value t="str">
            <val>TRDKTLMA2528_KESN_T0</val>
          </value>
        </values>
      </ddeItem>
      <ddeItem name="PAGE.2.128.2" advise="1">
        <values>
          <value t="str">
            <val>TRDKTLMA2528</val>
          </value>
        </values>
      </ddeItem>
      <ddeItem name="PAGE.2.128.3" advise="1">
        <values>
          <value t="str">
            <val/>
          </value>
        </values>
      </ddeItem>
      <ddeItem name="PAGE.2.128.4" advise="1">
        <values>
          <value t="str">
            <val/>
          </value>
        </values>
      </ddeItem>
      <ddeItem name="PAGE.2.128.5" advise="1">
        <values>
          <value t="str">
            <val/>
          </value>
        </values>
      </ddeItem>
      <ddeItem name="PAGE.2.128.6" advise="1">
        <values>
          <value t="str">
            <val/>
          </value>
        </values>
      </ddeItem>
      <ddeItem name="PAGE.2.128.7" advise="1">
        <values>
          <value t="str">
            <val>11:55:22</val>
          </value>
        </values>
      </ddeItem>
      <ddeItem name="PAGE.2.128.8" advise="1">
        <values>
          <value t="str">
            <val/>
          </value>
        </values>
      </ddeItem>
      <ddeItem name="PAGE.2.128.9" advise="1">
        <values>
          <value>
            <val>9.6924912089999999</val>
          </value>
        </values>
      </ddeItem>
      <ddeItem name="PAGE.2.129.1" advise="1">
        <values>
          <value t="str">
            <val>15/12</val>
          </value>
        </values>
      </ddeItem>
      <ddeItem name="PAGE.2.129.10" advise="1">
        <values>
          <value t="str">
            <val/>
          </value>
        </values>
      </ddeItem>
      <ddeItem name="PAGE.2.129.11" advise="1">
        <values>
          <value t="str">
            <val>TRD060526T15_KESN_T0</val>
          </value>
        </values>
      </ddeItem>
      <ddeItem name="PAGE.2.129.2" advise="1">
        <values>
          <value t="str">
            <val>TRD060526T15</val>
          </value>
        </values>
      </ddeItem>
      <ddeItem name="PAGE.2.129.3" advise="1">
        <values>
          <value t="str">
            <val/>
          </value>
        </values>
      </ddeItem>
      <ddeItem name="PAGE.2.129.4" advise="1">
        <values>
          <value t="str">
            <val/>
          </value>
        </values>
      </ddeItem>
      <ddeItem name="PAGE.2.129.5" advise="1">
        <values>
          <value t="str">
            <val/>
          </value>
        </values>
      </ddeItem>
      <ddeItem name="PAGE.2.129.6" advise="1">
        <values>
          <value t="str">
            <val/>
          </value>
        </values>
      </ddeItem>
      <ddeItem name="PAGE.2.129.7" advise="1">
        <values>
          <value t="str">
            <val>16:02:28</val>
          </value>
        </values>
      </ddeItem>
      <ddeItem name="PAGE.2.129.8" advise="1">
        <values>
          <value t="str">
            <val/>
          </value>
        </values>
      </ddeItem>
      <ddeItem name="PAGE.2.129.9" advise="1">
        <values>
          <value>
            <val>4.4945054950000003</val>
          </value>
        </values>
      </ddeItem>
      <ddeItem name="PAGE.2.13.1" advise="1">
        <values>
          <value t="str">
            <val>15/12</val>
          </value>
        </values>
      </ddeItem>
      <ddeItem name="PAGE.2.13.10" advise="1">
        <values>
          <value t="str">
            <val/>
          </value>
        </values>
      </ddeItem>
      <ddeItem name="PAGE.2.13.11" advise="1">
        <values>
          <value t="str">
            <val>TRD100227T11_KESN_T0</val>
          </value>
        </values>
      </ddeItem>
      <ddeItem name="PAGE.2.13.2" advise="1">
        <values>
          <value t="str">
            <val>TRD100227T11</val>
          </value>
        </values>
      </ddeItem>
      <ddeItem name="PAGE.2.13.3" advise="1">
        <values>
          <value t="str">
            <val/>
          </value>
        </values>
      </ddeItem>
      <ddeItem name="PAGE.2.13.4" advise="1">
        <values>
          <value t="str">
            <val/>
          </value>
        </values>
      </ddeItem>
      <ddeItem name="PAGE.2.13.5" advise="1">
        <values>
          <value t="str">
            <val/>
          </value>
        </values>
      </ddeItem>
      <ddeItem name="PAGE.2.13.6" advise="1">
        <values>
          <value t="str">
            <val/>
          </value>
        </values>
      </ddeItem>
      <ddeItem name="PAGE.2.13.7" advise="1">
        <values>
          <value t="str">
            <val>13:41:41</val>
          </value>
        </values>
      </ddeItem>
      <ddeItem name="PAGE.2.13.8" advise="1">
        <values>
          <value t="str">
            <val/>
          </value>
        </values>
      </ddeItem>
      <ddeItem name="PAGE.2.13.9" advise="1">
        <values>
          <value>
            <val>11.827692308</val>
          </value>
        </values>
      </ddeItem>
      <ddeItem name="PAGE.2.130.1" advise="1">
        <values>
          <value t="str">
            <val>15/12</val>
          </value>
        </values>
      </ddeItem>
      <ddeItem name="PAGE.2.130.10" advise="1">
        <values>
          <value t="str">
            <val/>
          </value>
        </values>
      </ddeItem>
      <ddeItem name="PAGE.2.130.11" advise="1">
        <values>
          <value t="str">
            <val>TRD030726T16_KESN_T0</val>
          </value>
        </values>
      </ddeItem>
      <ddeItem name="PAGE.2.130.2" advise="1">
        <values>
          <value t="str">
            <val>TRD030726T16</val>
          </value>
        </values>
      </ddeItem>
      <ddeItem name="PAGE.2.130.3" advise="1">
        <values>
          <value t="str">
            <val/>
          </value>
        </values>
      </ddeItem>
      <ddeItem name="PAGE.2.130.4" advise="1">
        <values>
          <value t="str">
            <val/>
          </value>
        </values>
      </ddeItem>
      <ddeItem name="PAGE.2.130.5" advise="1">
        <values>
          <value t="str">
            <val/>
          </value>
        </values>
      </ddeItem>
      <ddeItem name="PAGE.2.130.6" advise="1">
        <values>
          <value t="str">
            <val/>
          </value>
        </values>
      </ddeItem>
      <ddeItem name="PAGE.2.130.7" advise="1">
        <values>
          <value t="str">
            <val>12:09:04</val>
          </value>
        </values>
      </ddeItem>
      <ddeItem name="PAGE.2.130.8" advise="1">
        <values>
          <value t="str">
            <val/>
          </value>
        </values>
      </ddeItem>
      <ddeItem name="PAGE.2.130.9" advise="1">
        <values>
          <value t="str">
            <val/>
          </value>
        </values>
      </ddeItem>
      <ddeItem name="PAGE.2.131.1" advise="1">
        <values>
          <value t="str">
            <val>15/12</val>
          </value>
        </values>
      </ddeItem>
      <ddeItem name="PAGE.2.131.10" advise="1">
        <values>
          <value t="str">
            <val/>
          </value>
        </values>
      </ddeItem>
      <ddeItem name="PAGE.2.131.11" advise="1">
        <values>
          <value t="str">
            <val>TRD150426T31_KESN_T0</val>
          </value>
        </values>
      </ddeItem>
      <ddeItem name="PAGE.2.131.2" advise="1">
        <values>
          <value t="str">
            <val>TRD150426T31</val>
          </value>
        </values>
      </ddeItem>
      <ddeItem name="PAGE.2.131.3" advise="1">
        <values>
          <value t="str">
            <val/>
          </value>
        </values>
      </ddeItem>
      <ddeItem name="PAGE.2.131.4" advise="1">
        <values>
          <value t="str">
            <val/>
          </value>
        </values>
      </ddeItem>
      <ddeItem name="PAGE.2.131.5" advise="1">
        <values>
          <value t="str">
            <val/>
          </value>
        </values>
      </ddeItem>
      <ddeItem name="PAGE.2.131.6" advise="1">
        <values>
          <value t="str">
            <val/>
          </value>
        </values>
      </ddeItem>
      <ddeItem name="PAGE.2.131.7" advise="1">
        <values>
          <value t="str">
            <val>12:04:24</val>
          </value>
        </values>
      </ddeItem>
      <ddeItem name="PAGE.2.131.8" advise="1">
        <values>
          <value t="str">
            <val/>
          </value>
        </values>
      </ddeItem>
      <ddeItem name="PAGE.2.131.9" advise="1">
        <values>
          <value t="str">
            <val/>
          </value>
        </values>
      </ddeItem>
      <ddeItem name="PAGE.2.132.1" advise="1">
        <values>
          <value t="str">
            <val>15/12</val>
          </value>
        </values>
      </ddeItem>
      <ddeItem name="PAGE.2.132.10" advise="1">
        <values>
          <value t="str">
            <val/>
          </value>
        </values>
      </ddeItem>
      <ddeItem name="PAGE.2.132.11" advise="1">
        <values>
          <value t="str">
            <val>TRDGLVKK2611_KESN_T0</val>
          </value>
        </values>
      </ddeItem>
      <ddeItem name="PAGE.2.132.2" advise="1">
        <values>
          <value t="str">
            <val>TRDGLVKK2611</val>
          </value>
        </values>
      </ddeItem>
      <ddeItem name="PAGE.2.132.3" advise="1">
        <values>
          <value t="str">
            <val/>
          </value>
        </values>
      </ddeItem>
      <ddeItem name="PAGE.2.132.4" advise="1">
        <values>
          <value t="str">
            <val/>
          </value>
        </values>
      </ddeItem>
      <ddeItem name="PAGE.2.132.5" advise="1">
        <values>
          <value t="str">
            <val/>
          </value>
        </values>
      </ddeItem>
      <ddeItem name="PAGE.2.132.6" advise="1">
        <values>
          <value t="str">
            <val/>
          </value>
        </values>
      </ddeItem>
      <ddeItem name="PAGE.2.132.7" advise="1">
        <values>
          <value t="str">
            <val>12:04:39</val>
          </value>
        </values>
      </ddeItem>
      <ddeItem name="PAGE.2.132.8" advise="1">
        <values>
          <value t="str">
            <val/>
          </value>
        </values>
      </ddeItem>
      <ddeItem name="PAGE.2.132.9" advise="1">
        <values>
          <value>
            <val>4.4369659339999998</val>
          </value>
        </values>
      </ddeItem>
      <ddeItem name="PAGE.2.133.1" advise="1">
        <values>
          <value t="str">
            <val>15/12</val>
          </value>
        </values>
      </ddeItem>
      <ddeItem name="PAGE.2.133.10" advise="1">
        <values>
          <value t="str">
            <val/>
          </value>
        </values>
      </ddeItem>
      <ddeItem name="PAGE.2.133.11" advise="1">
        <values>
          <value t="str">
            <val>TRD120626T16_KESN_T0</val>
          </value>
        </values>
      </ddeItem>
      <ddeItem name="PAGE.2.133.2" advise="1">
        <values>
          <value t="str">
            <val>TRD120626T16</val>
          </value>
        </values>
      </ddeItem>
      <ddeItem name="PAGE.2.133.3" advise="1">
        <values>
          <value t="str">
            <val/>
          </value>
        </values>
      </ddeItem>
      <ddeItem name="PAGE.2.133.4" advise="1">
        <values>
          <value t="str">
            <val/>
          </value>
        </values>
      </ddeItem>
      <ddeItem name="PAGE.2.133.5" advise="1">
        <values>
          <value t="str">
            <val/>
          </value>
        </values>
      </ddeItem>
      <ddeItem name="PAGE.2.133.6" advise="1">
        <values>
          <value t="str">
            <val/>
          </value>
        </values>
      </ddeItem>
      <ddeItem name="PAGE.2.133.7" advise="1">
        <values>
          <value t="str">
            <val>12:04:50</val>
          </value>
        </values>
      </ddeItem>
      <ddeItem name="PAGE.2.133.8" advise="1">
        <values>
          <value t="str">
            <val/>
          </value>
        </values>
      </ddeItem>
      <ddeItem name="PAGE.2.133.9" advise="1">
        <values>
          <value t="str">
            <val/>
          </value>
        </values>
      </ddeItem>
      <ddeItem name="PAGE.2.134.1" advise="1">
        <values>
          <value t="str">
            <val>15/12</val>
          </value>
        </values>
      </ddeItem>
      <ddeItem name="PAGE.2.134.10" advise="1">
        <values>
          <value t="str">
            <val/>
          </value>
        </values>
      </ddeItem>
      <ddeItem name="PAGE.2.134.11" advise="1">
        <values>
          <value t="str">
            <val>TRD071026T17_KESN_T0</val>
          </value>
        </values>
      </ddeItem>
      <ddeItem name="PAGE.2.134.2" advise="1">
        <values>
          <value t="str">
            <val>TRD071026T17</val>
          </value>
        </values>
      </ddeItem>
      <ddeItem name="PAGE.2.134.3" advise="1">
        <values>
          <value t="str">
            <val/>
          </value>
        </values>
      </ddeItem>
      <ddeItem name="PAGE.2.134.4" advise="1">
        <values>
          <value t="str">
            <val/>
          </value>
        </values>
      </ddeItem>
      <ddeItem name="PAGE.2.134.5" advise="1">
        <values>
          <value t="str">
            <val/>
          </value>
        </values>
      </ddeItem>
      <ddeItem name="PAGE.2.134.6" advise="1">
        <values>
          <value t="str">
            <val/>
          </value>
        </values>
      </ddeItem>
      <ddeItem name="PAGE.2.134.7" advise="1">
        <values>
          <value t="str">
            <val>12:05:59</val>
          </value>
        </values>
      </ddeItem>
      <ddeItem name="PAGE.2.134.8" advise="1">
        <values>
          <value t="str">
            <val/>
          </value>
        </values>
      </ddeItem>
      <ddeItem name="PAGE.2.134.9" advise="1">
        <values>
          <value t="str">
            <val/>
          </value>
        </values>
      </ddeItem>
      <ddeItem name="PAGE.2.135.1" advise="1">
        <values>
          <value t="str">
            <val>15/12</val>
          </value>
        </values>
      </ddeItem>
      <ddeItem name="PAGE.2.135.10" advise="1">
        <values>
          <value>
            <val>104.899</val>
          </value>
        </values>
      </ddeItem>
      <ddeItem name="PAGE.2.135.11" advise="1">
        <values>
          <value t="str">
            <val>TRDNVKA42621_KESN_T0</val>
          </value>
        </values>
      </ddeItem>
      <ddeItem name="PAGE.2.135.2" advise="1">
        <values>
          <value t="str">
            <val>TRDNVKA42621</val>
          </value>
        </values>
      </ddeItem>
      <ddeItem name="PAGE.2.135.3" advise="1">
        <values>
          <value>
            <val>99.662999999999997</val>
          </value>
        </values>
      </ddeItem>
      <ddeItem name="PAGE.2.135.4" advise="1">
        <values>
          <value>
            <val>38.049999999999997</val>
          </value>
        </values>
      </ddeItem>
      <ddeItem name="PAGE.2.135.5" advise="1">
        <values>
          <value>
            <val>42.78</val>
          </value>
        </values>
      </ddeItem>
      <ddeItem name="PAGE.2.135.6" advise="1">
        <values>
          <value>
            <val>50000000</val>
          </value>
        </values>
      </ddeItem>
      <ddeItem name="PAGE.2.135.7" advise="1">
        <values>
          <value t="str">
            <val>12:12:28</val>
          </value>
        </values>
      </ddeItem>
      <ddeItem name="PAGE.2.135.8" advise="1">
        <values>
          <value>
            <val>52449304.920000002</val>
          </value>
        </values>
      </ddeItem>
      <ddeItem name="PAGE.2.135.9" advise="1">
        <values>
          <value>
            <val>5.2356098360000001</val>
          </value>
        </values>
      </ddeItem>
      <ddeItem name="PAGE.2.136.1" advise="1">
        <values>
          <value t="str">
            <val>15/12</val>
          </value>
        </values>
      </ddeItem>
      <ddeItem name="PAGE.2.136.10" advise="1">
        <values>
          <value>
            <val>104.59</val>
          </value>
        </values>
      </ddeItem>
      <ddeItem name="PAGE.2.136.11" advise="1">
        <values>
          <value t="str">
            <val>TRDBRKT22618_KESN_T0</val>
          </value>
        </values>
      </ddeItem>
      <ddeItem name="PAGE.2.136.2" advise="1">
        <values>
          <value t="str">
            <val>TRDBRKT22618</val>
          </value>
        </values>
      </ddeItem>
      <ddeItem name="PAGE.2.136.3" advise="1">
        <values>
          <value>
            <val>99.873999999999995</val>
          </value>
        </values>
      </ddeItem>
      <ddeItem name="PAGE.2.136.4" advise="1">
        <values>
          <value>
            <val>37.4</val>
          </value>
        </values>
      </ddeItem>
      <ddeItem name="PAGE.2.136.5" advise="1">
        <values>
          <value>
            <val>43.94</val>
          </value>
        </values>
      </ddeItem>
      <ddeItem name="PAGE.2.136.6" advise="1">
        <values>
          <value>
            <val>2400000</val>
          </value>
        </values>
      </ddeItem>
      <ddeItem name="PAGE.2.136.7" advise="1">
        <values>
          <value t="str">
            <val>12:27:37</val>
          </value>
        </values>
      </ddeItem>
      <ddeItem name="PAGE.2.136.8" advise="1">
        <values>
          <value>
            <val>2510154.4900000002</val>
          </value>
        </values>
      </ddeItem>
      <ddeItem name="PAGE.2.136.9" advise="1">
        <values>
          <value>
            <val>4.715770408</val>
          </value>
        </values>
      </ddeItem>
      <ddeItem name="PAGE.2.139.1" advise="1">
        <values>
          <value t="str">
            <val>15/12</val>
          </value>
        </values>
      </ddeItem>
      <ddeItem name="PAGE.2.139.10" advise="1">
        <values>
          <value t="str">
            <val/>
          </value>
        </values>
      </ddeItem>
      <ddeItem name="PAGE.2.139.11" advise="1">
        <values>
          <value t="str">
            <val>TRDZKBV42623_KESN_T0</val>
          </value>
        </values>
      </ddeItem>
      <ddeItem name="PAGE.2.139.2" advise="1">
        <values>
          <value t="str">
            <val>TRDZKBV42623</val>
          </value>
        </values>
      </ddeItem>
      <ddeItem name="PAGE.2.139.3" advise="1">
        <values>
          <value t="str">
            <val/>
          </value>
        </values>
      </ddeItem>
      <ddeItem name="PAGE.2.139.4" advise="1">
        <values>
          <value t="str">
            <val/>
          </value>
        </values>
      </ddeItem>
      <ddeItem name="PAGE.2.139.5" advise="1">
        <values>
          <value t="str">
            <val/>
          </value>
        </values>
      </ddeItem>
      <ddeItem name="PAGE.2.139.6" advise="1">
        <values>
          <value t="str">
            <val/>
          </value>
        </values>
      </ddeItem>
      <ddeItem name="PAGE.2.139.7" advise="1">
        <values>
          <value t="str">
            <val>12:37:03</val>
          </value>
        </values>
      </ddeItem>
      <ddeItem name="PAGE.2.139.8" advise="1">
        <values>
          <value t="str">
            <val/>
          </value>
        </values>
      </ddeItem>
      <ddeItem name="PAGE.2.139.9" advise="1">
        <values>
          <value>
            <val>1.380822</val>
          </value>
        </values>
      </ddeItem>
      <ddeItem name="PAGE.2.14.1" advise="1">
        <values>
          <value t="str">
            <val>15/12</val>
          </value>
        </values>
      </ddeItem>
      <ddeItem name="PAGE.2.14.10" advise="1">
        <values>
          <value t="str">
            <val/>
          </value>
        </values>
      </ddeItem>
      <ddeItem name="PAGE.2.14.11" advise="1">
        <values>
          <value t="str">
            <val>TRD220726T13_KESN_T0</val>
          </value>
        </values>
      </ddeItem>
      <ddeItem name="PAGE.2.14.2" advise="1">
        <values>
          <value t="str">
            <val>TRD220726T13</val>
          </value>
        </values>
      </ddeItem>
      <ddeItem name="PAGE.2.14.3" advise="1">
        <values>
          <value t="str">
            <val/>
          </value>
        </values>
      </ddeItem>
      <ddeItem name="PAGE.2.14.4" advise="1">
        <values>
          <value t="str">
            <val/>
          </value>
        </values>
      </ddeItem>
      <ddeItem name="PAGE.2.14.5" advise="1">
        <values>
          <value t="str">
            <val/>
          </value>
        </values>
      </ddeItem>
      <ddeItem name="PAGE.2.14.6" advise="1">
        <values>
          <value t="str">
            <val/>
          </value>
        </values>
      </ddeItem>
      <ddeItem name="PAGE.2.14.7" advise="1">
        <values>
          <value t="str">
            <val>10:45:15</val>
          </value>
        </values>
      </ddeItem>
      <ddeItem name="PAGE.2.14.8" advise="1">
        <values>
          <value t="str">
            <val/>
          </value>
        </values>
      </ddeItem>
      <ddeItem name="PAGE.2.14.9" advise="1">
        <values>
          <value>
            <val>15.352472527</val>
          </value>
        </values>
      </ddeItem>
      <ddeItem name="PAGE.2.143.1" advise="1">
        <values>
          <value t="str">
            <val>15/12</val>
          </value>
        </values>
      </ddeItem>
      <ddeItem name="PAGE.2.143.10" advise="1">
        <values>
          <value>
            <val>112.19199999999999</val>
          </value>
        </values>
      </ddeItem>
      <ddeItem name="PAGE.2.143.11" advise="1">
        <values>
          <value t="str">
            <val>TRDHVKAA2532_KESN_T0</val>
          </value>
        </values>
      </ddeItem>
      <ddeItem name="PAGE.2.143.2" advise="1">
        <values>
          <value t="str">
            <val>TRDHVKAA2532</val>
          </value>
        </values>
      </ddeItem>
      <ddeItem name="PAGE.2.143.3" advise="1">
        <values>
          <value>
            <val>99.986999999999995</val>
          </value>
        </values>
      </ddeItem>
      <ddeItem name="PAGE.2.143.4" advise="1">
        <values>
          <value>
            <val>38.21</val>
          </value>
        </values>
      </ddeItem>
      <ddeItem name="PAGE.2.143.5" advise="1">
        <values>
          <value>
            <val>46.48</val>
          </value>
        </values>
      </ddeItem>
      <ddeItem name="PAGE.2.143.6" advise="1">
        <values>
          <value>
            <val>2600000</val>
          </value>
        </values>
      </ddeItem>
      <ddeItem name="PAGE.2.143.7" advise="1">
        <values>
          <value t="str">
            <val>14:56:36</val>
          </value>
        </values>
      </ddeItem>
      <ddeItem name="PAGE.2.143.8" advise="1">
        <values>
          <value>
            <val>2917004.54</val>
          </value>
        </values>
      </ddeItem>
      <ddeItem name="PAGE.2.143.9" advise="1">
        <values>
          <value>
            <val>12.205482142999999</val>
          </value>
        </values>
      </ddeItem>
      <ddeItem name="PAGE.2.144.1" advise="1">
        <values>
          <value t="str">
            <val>15/12</val>
          </value>
        </values>
      </ddeItem>
      <ddeItem name="PAGE.2.144.10" advise="1">
        <values>
          <value>
            <val>103.437</val>
          </value>
        </values>
      </ddeItem>
      <ddeItem name="PAGE.2.144.11" advise="1">
        <values>
          <value t="str">
            <val>TRDABVKK2619_KESN_T0</val>
          </value>
        </values>
      </ddeItem>
      <ddeItem name="PAGE.2.144.2" advise="1">
        <values>
          <value t="str">
            <val>TRDABVKK2619</val>
          </value>
        </values>
      </ddeItem>
      <ddeItem name="PAGE.2.144.3" advise="1">
        <values>
          <value>
            <val>103.437</val>
          </value>
        </values>
      </ddeItem>
      <ddeItem name="PAGE.2.144.4" advise="1">
        <values>
          <value t="str">
            <val/>
          </value>
        </values>
      </ddeItem>
      <ddeItem name="PAGE.2.144.5" advise="1">
        <values>
          <value t="str">
            <val/>
          </value>
        </values>
      </ddeItem>
      <ddeItem name="PAGE.2.144.6" advise="1">
        <values>
          <value>
            <val>2000000</val>
          </value>
        </values>
      </ddeItem>
      <ddeItem name="PAGE.2.144.7" advise="1">
        <values>
          <value t="str">
            <val>13:37:31</val>
          </value>
        </values>
      </ddeItem>
      <ddeItem name="PAGE.2.144.8" advise="1">
        <values>
          <value>
            <val>2068740</val>
          </value>
        </values>
      </ddeItem>
      <ddeItem name="PAGE.2.144.9" advise="1">
        <values>
          <value t="str">
            <val/>
          </value>
        </values>
      </ddeItem>
      <ddeItem name="PAGE.2.145.1" advise="1">
        <values>
          <value t="str">
            <val>15/12</val>
          </value>
        </values>
      </ddeItem>
      <ddeItem name="PAGE.2.145.10" advise="1">
        <values>
          <value t="str">
            <val/>
          </value>
        </values>
      </ddeItem>
      <ddeItem name="PAGE.2.145.11" advise="1">
        <values>
          <value t="str">
            <val>TRFOYMDA2517_KESN_T0</val>
          </value>
        </values>
      </ddeItem>
      <ddeItem name="PAGE.2.145.2" advise="1">
        <values>
          <value t="str">
            <val>TRFOYMDA2517</val>
          </value>
        </values>
      </ddeItem>
      <ddeItem name="PAGE.2.145.3" advise="1">
        <values>
          <value t="str">
            <val/>
          </value>
        </values>
      </ddeItem>
      <ddeItem name="PAGE.2.145.4" advise="1">
        <values>
          <value t="str">
            <val/>
          </value>
        </values>
      </ddeItem>
      <ddeItem name="PAGE.2.145.5" advise="1">
        <values>
          <value t="str">
            <val/>
          </value>
        </values>
      </ddeItem>
      <ddeItem name="PAGE.2.145.6" advise="1">
        <values>
          <value t="str">
            <val/>
          </value>
        </values>
      </ddeItem>
      <ddeItem name="PAGE.2.145.7" advise="1">
        <values>
          <value t="str">
            <val>13:42:37</val>
          </value>
        </values>
      </ddeItem>
      <ddeItem name="PAGE.2.145.8" advise="1">
        <values>
          <value t="str">
            <val/>
          </value>
        </values>
      </ddeItem>
      <ddeItem name="PAGE.2.145.9" advise="1">
        <values>
          <value t="str">
            <val/>
          </value>
        </values>
      </ddeItem>
      <ddeItem name="PAGE.2.147.1" advise="1">
        <values>
          <value t="str">
            <val>15/12</val>
          </value>
        </values>
      </ddeItem>
      <ddeItem name="PAGE.2.147.10" advise="1">
        <values>
          <value t="str">
            <val/>
          </value>
        </values>
      </ddeItem>
      <ddeItem name="PAGE.2.147.11" advise="1">
        <values>
          <value t="str">
            <val>TRT131130T14_KESN_T0</val>
          </value>
        </values>
      </ddeItem>
      <ddeItem name="PAGE.2.147.2" advise="1">
        <values>
          <value t="str">
            <val>TRT131130T14</val>
          </value>
        </values>
      </ddeItem>
      <ddeItem name="PAGE.2.147.3" advise="1">
        <values>
          <value t="str">
            <val/>
          </value>
        </values>
      </ddeItem>
      <ddeItem name="PAGE.2.147.4" advise="1">
        <values>
          <value t="str">
            <val/>
          </value>
        </values>
      </ddeItem>
      <ddeItem name="PAGE.2.147.5" advise="1">
        <values>
          <value t="str">
            <val/>
          </value>
        </values>
      </ddeItem>
      <ddeItem name="PAGE.2.147.6" advise="1">
        <values>
          <value t="str">
            <val/>
          </value>
        </values>
      </ddeItem>
      <ddeItem name="PAGE.2.147.7" advise="1">
        <values>
          <value t="str">
            <val>13:50:21</val>
          </value>
        </values>
      </ddeItem>
      <ddeItem name="PAGE.2.147.8" advise="1">
        <values>
          <value t="str">
            <val/>
          </value>
        </values>
      </ddeItem>
      <ddeItem name="PAGE.2.147.9" advise="1">
        <values>
          <value>
            <val>0.83571428599999997</val>
          </value>
        </values>
      </ddeItem>
      <ddeItem name="PAGE.2.148.1" advise="1">
        <values>
          <value t="str">
            <val>15/12</val>
          </value>
        </values>
      </ddeItem>
      <ddeItem name="PAGE.2.148.10" advise="1">
        <values>
          <value t="str">
            <val/>
          </value>
        </values>
      </ddeItem>
      <ddeItem name="PAGE.2.148.11" advise="1">
        <values>
          <value t="str">
            <val>TRT090627T12_KESN_T0</val>
          </value>
        </values>
      </ddeItem>
      <ddeItem name="PAGE.2.148.2" advise="1">
        <values>
          <value t="str">
            <val>TRT090627T12</val>
          </value>
        </values>
      </ddeItem>
      <ddeItem name="PAGE.2.148.3" advise="1">
        <values>
          <value t="str">
            <val/>
          </value>
        </values>
      </ddeItem>
      <ddeItem name="PAGE.2.148.4" advise="1">
        <values>
          <value t="str">
            <val/>
          </value>
        </values>
      </ddeItem>
      <ddeItem name="PAGE.2.148.5" advise="1">
        <values>
          <value t="str">
            <val/>
          </value>
        </values>
      </ddeItem>
      <ddeItem name="PAGE.2.148.6" advise="1">
        <values>
          <value t="str">
            <val/>
          </value>
        </values>
      </ddeItem>
      <ddeItem name="PAGE.2.148.7" advise="1">
        <values>
          <value t="str">
            <val>13:55:42</val>
          </value>
        </values>
      </ddeItem>
      <ddeItem name="PAGE.2.148.8" advise="1">
        <values>
          <value t="str">
            <val/>
          </value>
        </values>
      </ddeItem>
      <ddeItem name="PAGE.2.148.9" advise="1">
        <values>
          <value>
            <val>0.27747252700000002</val>
          </value>
        </values>
      </ddeItem>
      <ddeItem name="PAGE.2.149.1" advise="1">
        <values>
          <value t="str">
            <val>15/12</val>
          </value>
        </values>
      </ddeItem>
      <ddeItem name="PAGE.2.149.10" advise="1">
        <values>
          <value t="str">
            <val/>
          </value>
        </values>
      </ddeItem>
      <ddeItem name="PAGE.2.149.11" advise="1">
        <values>
          <value t="str">
            <val>TRFMSYNA2511_KESN_T0</val>
          </value>
        </values>
      </ddeItem>
      <ddeItem name="PAGE.2.149.2" advise="1">
        <values>
          <value t="str">
            <val>TRFMSYNA2511</val>
          </value>
        </values>
      </ddeItem>
      <ddeItem name="PAGE.2.149.3" advise="1">
        <values>
          <value t="str">
            <val/>
          </value>
        </values>
      </ddeItem>
      <ddeItem name="PAGE.2.149.4" advise="1">
        <values>
          <value t="str">
            <val/>
          </value>
        </values>
      </ddeItem>
      <ddeItem name="PAGE.2.149.5" advise="1">
        <values>
          <value t="str">
            <val/>
          </value>
        </values>
      </ddeItem>
      <ddeItem name="PAGE.2.149.6" advise="1">
        <values>
          <value t="str">
            <val/>
          </value>
        </values>
      </ddeItem>
      <ddeItem name="PAGE.2.149.7" advise="1">
        <values>
          <value t="str">
            <val>13:57:23</val>
          </value>
        </values>
      </ddeItem>
      <ddeItem name="PAGE.2.149.8" advise="1">
        <values>
          <value t="str">
            <val/>
          </value>
        </values>
      </ddeItem>
      <ddeItem name="PAGE.2.149.9" advise="1">
        <values>
          <value>
            <val>21.633230769000001</val>
          </value>
        </values>
      </ddeItem>
      <ddeItem name="PAGE.2.15.1" advise="1">
        <values>
          <value t="str">
            <val>15/12</val>
          </value>
        </values>
      </ddeItem>
      <ddeItem name="PAGE.2.15.10" advise="1">
        <values>
          <value>
            <val>114.193</val>
          </value>
        </values>
      </ddeItem>
      <ddeItem name="PAGE.2.15.11" advise="1">
        <values>
          <value t="str">
            <val>TRD120826T14_KESN_T0</val>
          </value>
        </values>
      </ddeItem>
      <ddeItem name="PAGE.2.15.2" advise="1">
        <values>
          <value t="str">
            <val>TRD120826T14</val>
          </value>
        </values>
      </ddeItem>
      <ddeItem name="PAGE.2.15.3" advise="1">
        <values>
          <value>
            <val>101.35</val>
          </value>
        </values>
      </ddeItem>
      <ddeItem name="PAGE.2.15.4" advise="1">
        <values>
          <value>
            <val>34.64</val>
          </value>
        </values>
      </ddeItem>
      <ddeItem name="PAGE.2.15.5" advise="1">
        <values>
          <value>
            <val>37.64</val>
          </value>
        </values>
      </ddeItem>
      <ddeItem name="PAGE.2.15.6" advise="1">
        <values>
          <value>
            <val>5000000</val>
          </value>
        </values>
      </ddeItem>
      <ddeItem name="PAGE.2.15.7" advise="1">
        <values>
          <value t="str">
            <val>10:53:39</val>
          </value>
        </values>
      </ddeItem>
      <ddeItem name="PAGE.2.15.8" advise="1">
        <values>
          <value>
            <val>5709642.8600000003</val>
          </value>
        </values>
      </ddeItem>
      <ddeItem name="PAGE.2.15.9" advise="1">
        <values>
          <value>
            <val>12.842857143</val>
          </value>
        </values>
      </ddeItem>
      <ddeItem name="PAGE.2.150.1" advise="1">
        <values>
          <value t="str">
            <val>15/12</val>
          </value>
        </values>
      </ddeItem>
      <ddeItem name="PAGE.2.150.10" advise="1">
        <values>
          <value t="str">
            <val/>
          </value>
        </values>
      </ddeItem>
      <ddeItem name="PAGE.2.150.11" advise="1">
        <values>
          <value t="str">
            <val>TRFTIMG52622_KESN_T0</val>
          </value>
        </values>
      </ddeItem>
      <ddeItem name="PAGE.2.150.2" advise="1">
        <values>
          <value t="str">
            <val>TRFTIMG52622</val>
          </value>
        </values>
      </ddeItem>
      <ddeItem name="PAGE.2.150.3" advise="1">
        <values>
          <value t="str">
            <val/>
          </value>
        </values>
      </ddeItem>
      <ddeItem name="PAGE.2.150.4" advise="1">
        <values>
          <value t="str">
            <val/>
          </value>
        </values>
      </ddeItem>
      <ddeItem name="PAGE.2.150.5" advise="1">
        <values>
          <value t="str">
            <val/>
          </value>
        </values>
      </ddeItem>
      <ddeItem name="PAGE.2.150.6" advise="1">
        <values>
          <value t="str">
            <val/>
          </value>
        </values>
      </ddeItem>
      <ddeItem name="PAGE.2.150.7" advise="1">
        <values>
          <value t="str">
            <val>13:58:20</val>
          </value>
        </values>
      </ddeItem>
      <ddeItem name="PAGE.2.150.8" advise="1">
        <values>
          <value t="str">
            <val/>
          </value>
        </values>
      </ddeItem>
      <ddeItem name="PAGE.2.150.9" advise="1">
        <values>
          <value t="str">
            <val/>
          </value>
        </values>
      </ddeItem>
      <ddeItem name="PAGE.2.159.1" advise="1">
        <values>
          <value t="str">
            <val>15/12</val>
          </value>
        </values>
      </ddeItem>
      <ddeItem name="PAGE.2.159.10" advise="1">
        <values>
          <value t="str">
            <val/>
          </value>
        </values>
      </ddeItem>
      <ddeItem name="PAGE.2.159.11" advise="1">
        <values>
          <value t="str">
            <val>TRT100332T15_KESN_T0</val>
          </value>
        </values>
      </ddeItem>
      <ddeItem name="PAGE.2.159.2" advise="1">
        <values>
          <value t="str">
            <val>TRT100332T15</val>
          </value>
        </values>
      </ddeItem>
      <ddeItem name="PAGE.2.159.3" advise="1">
        <values>
          <value t="str">
            <val/>
          </value>
        </values>
      </ddeItem>
      <ddeItem name="PAGE.2.159.4" advise="1">
        <values>
          <value t="str">
            <val/>
          </value>
        </values>
      </ddeItem>
      <ddeItem name="PAGE.2.159.5" advise="1">
        <values>
          <value t="str">
            <val/>
          </value>
        </values>
      </ddeItem>
      <ddeItem name="PAGE.2.159.6" advise="1">
        <values>
          <value t="str">
            <val/>
          </value>
        </values>
      </ddeItem>
      <ddeItem name="PAGE.2.159.7" advise="1">
        <values>
          <value t="str">
            <val>14:17:18</val>
          </value>
        </values>
      </ddeItem>
      <ddeItem name="PAGE.2.159.8" advise="1">
        <values>
          <value t="str">
            <val/>
          </value>
        </values>
      </ddeItem>
      <ddeItem name="PAGE.2.159.9" advise="1">
        <values>
          <value>
            <val>9.261868132</val>
          </value>
        </values>
      </ddeItem>
      <ddeItem name="PAGE.2.16.1" advise="1">
        <values>
          <value t="str">
            <val>15/12</val>
          </value>
        </values>
      </ddeItem>
      <ddeItem name="PAGE.2.16.10" advise="1">
        <values>
          <value t="str">
            <val/>
          </value>
        </values>
      </ddeItem>
      <ddeItem name="PAGE.2.16.11" advise="1">
        <values>
          <value t="str">
            <val>TRD141026T18_KESN_T0</val>
          </value>
        </values>
      </ddeItem>
      <ddeItem name="PAGE.2.16.2" advise="1">
        <values>
          <value t="str">
            <val>TRD141026T18</val>
          </value>
        </values>
      </ddeItem>
      <ddeItem name="PAGE.2.16.3" advise="1">
        <values>
          <value t="str">
            <val/>
          </value>
        </values>
      </ddeItem>
      <ddeItem name="PAGE.2.16.4" advise="1">
        <values>
          <value t="str">
            <val/>
          </value>
        </values>
      </ddeItem>
      <ddeItem name="PAGE.2.16.5" advise="1">
        <values>
          <value t="str">
            <val/>
          </value>
        </values>
      </ddeItem>
      <ddeItem name="PAGE.2.16.6" advise="1">
        <values>
          <value t="str">
            <val/>
          </value>
        </values>
      </ddeItem>
      <ddeItem name="PAGE.2.16.7" advise="1">
        <values>
          <value t="str">
            <val>09:33:37</val>
          </value>
        </values>
      </ddeItem>
      <ddeItem name="PAGE.2.16.8" advise="1">
        <values>
          <value t="str">
            <val/>
          </value>
        </values>
      </ddeItem>
      <ddeItem name="PAGE.2.16.9" advise="1">
        <values>
          <value>
            <val>6.5491208790000002</val>
          </value>
        </values>
      </ddeItem>
      <ddeItem name="PAGE.2.160.1" advise="1">
        <values>
          <value t="str">
            <val>15/12</val>
          </value>
        </values>
      </ddeItem>
      <ddeItem name="PAGE.2.160.10" advise="1">
        <values>
          <value t="str">
            <val/>
          </value>
        </values>
      </ddeItem>
      <ddeItem name="PAGE.2.160.11" advise="1">
        <values>
          <value t="str">
            <val>TRFGDKME2618_KESN_T0</val>
          </value>
        </values>
      </ddeItem>
      <ddeItem name="PAGE.2.160.2" advise="1">
        <values>
          <value t="str">
            <val>TRFGDKME2618</val>
          </value>
        </values>
      </ddeItem>
      <ddeItem name="PAGE.2.160.3" advise="1">
        <values>
          <value t="str">
            <val/>
          </value>
        </values>
      </ddeItem>
      <ddeItem name="PAGE.2.160.4" advise="1">
        <values>
          <value t="str">
            <val/>
          </value>
        </values>
      </ddeItem>
      <ddeItem name="PAGE.2.160.5" advise="1">
        <values>
          <value t="str">
            <val/>
          </value>
        </values>
      </ddeItem>
      <ddeItem name="PAGE.2.160.6" advise="1">
        <values>
          <value t="str">
            <val/>
          </value>
        </values>
      </ddeItem>
      <ddeItem name="PAGE.2.160.7" advise="1">
        <values>
          <value t="str">
            <val>14:15:14</val>
          </value>
        </values>
      </ddeItem>
      <ddeItem name="PAGE.2.160.8" advise="1">
        <values>
          <value t="str">
            <val/>
          </value>
        </values>
      </ddeItem>
      <ddeItem name="PAGE.2.160.9" advise="1">
        <values>
          <value t="str">
            <val/>
          </value>
        </values>
      </ddeItem>
      <ddeItem name="PAGE.2.166.1" advise="1">
        <values>
          <value t="str">
            <val>15/12</val>
          </value>
        </values>
      </ddeItem>
      <ddeItem name="PAGE.2.166.10" advise="1">
        <values>
          <value t="str">
            <val/>
          </value>
        </values>
      </ddeItem>
      <ddeItem name="PAGE.2.166.11" advise="1">
        <values>
          <value t="str">
            <val>TRDKTSKE2610_KESN_T0</val>
          </value>
        </values>
      </ddeItem>
      <ddeItem name="PAGE.2.166.2" advise="1">
        <values>
          <value t="str">
            <val>TRDKTSKE2610</val>
          </value>
        </values>
      </ddeItem>
      <ddeItem name="PAGE.2.166.3" advise="1">
        <values>
          <value t="str">
            <val/>
          </value>
        </values>
      </ddeItem>
      <ddeItem name="PAGE.2.166.4" advise="1">
        <values>
          <value t="str">
            <val/>
          </value>
        </values>
      </ddeItem>
      <ddeItem name="PAGE.2.166.5" advise="1">
        <values>
          <value t="str">
            <val/>
          </value>
        </values>
      </ddeItem>
      <ddeItem name="PAGE.2.166.6" advise="1">
        <values>
          <value t="str">
            <val/>
          </value>
        </values>
      </ddeItem>
      <ddeItem name="PAGE.2.166.7" advise="1">
        <values>
          <value t="str">
            <val>14:24:03</val>
          </value>
        </values>
      </ddeItem>
      <ddeItem name="PAGE.2.166.8" advise="1">
        <values>
          <value t="str">
            <val/>
          </value>
        </values>
      </ddeItem>
      <ddeItem name="PAGE.2.166.9" advise="1">
        <values>
          <value t="str">
            <val/>
          </value>
        </values>
      </ddeItem>
      <ddeItem name="PAGE.2.17.1" advise="1">
        <values>
          <value t="str">
            <val>15/12</val>
          </value>
        </values>
      </ddeItem>
      <ddeItem name="PAGE.2.17.10" advise="1">
        <values>
          <value t="str">
            <val/>
          </value>
        </values>
      </ddeItem>
      <ddeItem name="PAGE.2.17.11" advise="1">
        <values>
          <value t="str">
            <val>TRD200127T10_KESN_T0</val>
          </value>
        </values>
      </ddeItem>
      <ddeItem name="PAGE.2.17.2" advise="1">
        <values>
          <value t="str">
            <val>TRD200127T10</val>
          </value>
        </values>
      </ddeItem>
      <ddeItem name="PAGE.2.17.3" advise="1">
        <values>
          <value t="str">
            <val/>
          </value>
        </values>
      </ddeItem>
      <ddeItem name="PAGE.2.17.4" advise="1">
        <values>
          <value t="str">
            <val/>
          </value>
        </values>
      </ddeItem>
      <ddeItem name="PAGE.2.17.5" advise="1">
        <values>
          <value t="str">
            <val/>
          </value>
        </values>
      </ddeItem>
      <ddeItem name="PAGE.2.17.6" advise="1">
        <values>
          <value t="str">
            <val/>
          </value>
        </values>
      </ddeItem>
      <ddeItem name="PAGE.2.17.7" advise="1">
        <values>
          <value t="str">
            <val>13:46:08</val>
          </value>
        </values>
      </ddeItem>
      <ddeItem name="PAGE.2.17.8" advise="1">
        <values>
          <value t="str">
            <val/>
          </value>
        </values>
      </ddeItem>
      <ddeItem name="PAGE.2.17.9" advise="1">
        <values>
          <value>
            <val>0</val>
          </value>
        </values>
      </ddeItem>
      <ddeItem name="PAGE.2.18.1" advise="1">
        <values>
          <value t="str">
            <val>15/12</val>
          </value>
        </values>
      </ddeItem>
      <ddeItem name="PAGE.2.18.10" advise="1">
        <values>
          <value>
            <val>107.623</val>
          </value>
        </values>
      </ddeItem>
      <ddeItem name="PAGE.2.18.11" advise="1">
        <values>
          <value t="str">
            <val>TRD061027T33_KESN_T0</val>
          </value>
        </values>
      </ddeItem>
      <ddeItem name="PAGE.2.18.2" advise="1">
        <values>
          <value t="str">
            <val>TRD061027T33</val>
          </value>
        </values>
      </ddeItem>
      <ddeItem name="PAGE.2.18.3" advise="1">
        <values>
          <value>
            <val>100.15</val>
          </value>
        </values>
      </ddeItem>
      <ddeItem name="PAGE.2.18.4" advise="1">
        <values>
          <value t="str">
            <val/>
          </value>
        </values>
      </ddeItem>
      <ddeItem name="PAGE.2.18.5" advise="1">
        <values>
          <value t="str">
            <val/>
          </value>
        </values>
      </ddeItem>
      <ddeItem name="PAGE.2.18.6" advise="1">
        <values>
          <value>
            <val>20000000</val>
          </value>
        </values>
      </ddeItem>
      <ddeItem name="PAGE.2.18.7" advise="1">
        <values>
          <value t="str">
            <val>12:56:20</val>
          </value>
        </values>
      </ddeItem>
      <ddeItem name="PAGE.2.18.8" advise="1">
        <values>
          <value>
            <val>21524505.489999998</val>
          </value>
        </values>
      </ddeItem>
      <ddeItem name="PAGE.2.18.9" advise="1">
        <values>
          <value>
            <val>7.4725274730000004</val>
          </value>
        </values>
      </ddeItem>
      <ddeItem name="PAGE.2.185.1" advise="1">
        <values>
          <value t="str">
            <val>15/12</val>
          </value>
        </values>
      </ddeItem>
      <ddeItem name="PAGE.2.185.10" advise="1">
        <values>
          <value t="str">
            <val/>
          </value>
        </values>
      </ddeItem>
      <ddeItem name="PAGE.2.185.11" advise="1">
        <values>
          <value t="str">
            <val>TRDHVKAA2557_KESN_T0</val>
          </value>
        </values>
      </ddeItem>
      <ddeItem name="PAGE.2.185.2" advise="1">
        <values>
          <value t="str">
            <val>TRDHVKAA2557</val>
          </value>
        </values>
      </ddeItem>
      <ddeItem name="PAGE.2.185.3" advise="1">
        <values>
          <value t="str">
            <val/>
          </value>
        </values>
      </ddeItem>
      <ddeItem name="PAGE.2.185.4" advise="1">
        <values>
          <value t="str">
            <val/>
          </value>
        </values>
      </ddeItem>
      <ddeItem name="PAGE.2.185.5" advise="1">
        <values>
          <value t="str">
            <val/>
          </value>
        </values>
      </ddeItem>
      <ddeItem name="PAGE.2.185.6" advise="1">
        <values>
          <value t="str">
            <val/>
          </value>
        </values>
      </ddeItem>
      <ddeItem name="PAGE.2.185.7" advise="1">
        <values>
          <value t="str">
            <val>14:57:14</val>
          </value>
        </values>
      </ddeItem>
      <ddeItem name="PAGE.2.185.8" advise="1">
        <values>
          <value t="str">
            <val/>
          </value>
        </values>
      </ddeItem>
      <ddeItem name="PAGE.2.185.9" advise="1">
        <values>
          <value>
            <val>9.4746537360000005</val>
          </value>
        </values>
      </ddeItem>
      <ddeItem name="PAGE.2.19.1" advise="1">
        <values>
          <value t="str">
            <val>15/12</val>
          </value>
        </values>
      </ddeItem>
      <ddeItem name="PAGE.2.19.10" advise="1">
        <values>
          <value>
            <val>108.38800000000001</val>
          </value>
        </values>
      </ddeItem>
      <ddeItem name="PAGE.2.19.11" advise="1">
        <values>
          <value t="str">
            <val>TRT080426T16_KESN_T0</val>
          </value>
        </values>
      </ddeItem>
      <ddeItem name="PAGE.2.19.2" advise="1">
        <values>
          <value t="str">
            <val>TRT080426T16</val>
          </value>
        </values>
      </ddeItem>
      <ddeItem name="PAGE.2.19.3" advise="1">
        <values>
          <value>
            <val>100.753</val>
          </value>
        </values>
      </ddeItem>
      <ddeItem name="PAGE.2.19.4" advise="1">
        <values>
          <value t="str">
            <val/>
          </value>
        </values>
      </ddeItem>
      <ddeItem name="PAGE.2.19.5" advise="1">
        <values>
          <value t="str">
            <val/>
          </value>
        </values>
      </ddeItem>
      <ddeItem name="PAGE.2.19.6" advise="1">
        <values>
          <value>
            <val>519000000</val>
          </value>
        </values>
      </ddeItem>
      <ddeItem name="PAGE.2.19.7" advise="1">
        <values>
          <value t="str">
            <val>13:44:01</val>
          </value>
        </values>
      </ddeItem>
      <ddeItem name="PAGE.2.19.8" advise="1">
        <values>
          <value>
            <val>562535728.27999997</val>
          </value>
        </values>
      </ddeItem>
      <ddeItem name="PAGE.2.19.9" advise="1">
        <values>
          <value>
            <val>7.6350150890000004</val>
          </value>
        </values>
      </ddeItem>
      <ddeItem name="PAGE.2.2.1" advise="1">
        <values>
          <value t="str">
            <val>15/12</val>
          </value>
        </values>
      </ddeItem>
      <ddeItem name="PAGE.2.2.10" advise="1">
        <values>
          <value>
            <val>99.960999999999999</val>
          </value>
        </values>
      </ddeItem>
      <ddeItem name="PAGE.2.2.11" advise="1">
        <values>
          <value t="str">
            <val>TRT110226T13_KESN_T0</val>
          </value>
        </values>
      </ddeItem>
      <ddeItem name="PAGE.2.2.2" advise="1">
        <values>
          <value t="str">
            <val>TRT110226T13</val>
          </value>
        </values>
      </ddeItem>
      <ddeItem name="PAGE.2.2.3" advise="1">
        <values>
          <value>
            <val>96.35</val>
          </value>
        </values>
      </ddeItem>
      <ddeItem name="PAGE.2.2.4" advise="1">
        <values>
          <value>
            <val>33.61</val>
          </value>
        </values>
      </ddeItem>
      <ddeItem name="PAGE.2.2.5" advise="1">
        <values>
          <value>
            <val>38.74</val>
          </value>
        </values>
      </ddeItem>
      <ddeItem name="PAGE.2.2.6" advise="1">
        <values>
          <value>
            <val>22000000</val>
          </value>
        </values>
      </ddeItem>
      <ddeItem name="PAGE.2.2.7" advise="1">
        <values>
          <value t="str">
            <val>13:55:23</val>
          </value>
        </values>
      </ddeItem>
      <ddeItem name="PAGE.2.2.8" advise="1">
        <values>
          <value>
            <val>21991417.579999998</val>
          </value>
        </values>
      </ddeItem>
      <ddeItem name="PAGE.2.2.9" advise="1">
        <values>
          <value>
            <val>3.610989011</val>
          </value>
        </values>
      </ddeItem>
      <ddeItem name="PAGE.2.20.1" advise="1">
        <values>
          <value t="str">
            <val>15/12</val>
          </value>
        </values>
      </ddeItem>
      <ddeItem name="PAGE.2.20.10" advise="1">
        <values>
          <value>
            <val>109.65900000000001</val>
          </value>
        </values>
      </ddeItem>
      <ddeItem name="PAGE.2.20.11" advise="1">
        <values>
          <value t="str">
            <val>TRT130629T30_KESN_T0</val>
          </value>
        </values>
      </ddeItem>
      <ddeItem name="PAGE.2.20.2" advise="1">
        <values>
          <value t="str">
            <val>TRT130629T30</val>
          </value>
        </values>
      </ddeItem>
      <ddeItem name="PAGE.2.20.3" advise="1">
        <values>
          <value>
            <val>99.507999999999996</val>
          </value>
        </values>
      </ddeItem>
      <ddeItem name="PAGE.2.20.4" advise="1">
        <values>
          <value t="str">
            <val/>
          </value>
        </values>
      </ddeItem>
      <ddeItem name="PAGE.2.20.5" advise="1">
        <values>
          <value t="str">
            <val/>
          </value>
        </values>
      </ddeItem>
      <ddeItem name="PAGE.2.20.6" advise="1">
        <values>
          <value>
            <val>339000000</val>
          </value>
        </values>
      </ddeItem>
      <ddeItem name="PAGE.2.20.7" advise="1">
        <values>
          <value t="str">
            <val>13:30:44</val>
          </value>
        </values>
      </ddeItem>
      <ddeItem name="PAGE.2.20.8" advise="1">
        <values>
          <value>
            <val>371744573.19</val>
          </value>
        </values>
      </ddeItem>
      <ddeItem name="PAGE.2.20.9" advise="1">
        <values>
          <value>
            <val>10.15105404</val>
          </value>
        </values>
      </ddeItem>
      <ddeItem name="PAGE.2.21.1" advise="1">
        <values>
          <value t="str">
            <val>15/12</val>
          </value>
        </values>
      </ddeItem>
      <ddeItem name="PAGE.2.21.10" advise="1">
        <values>
          <value>
            <val>100.04</val>
          </value>
        </values>
      </ddeItem>
      <ddeItem name="PAGE.2.21.11" advise="1">
        <values>
          <value t="str">
            <val>TRT070329T15_KESN_T0</val>
          </value>
        </values>
      </ddeItem>
      <ddeItem name="PAGE.2.21.2" advise="1">
        <values>
          <value t="str">
            <val>TRT070329T15</val>
          </value>
        </values>
      </ddeItem>
      <ddeItem name="PAGE.2.21.3" advise="1">
        <values>
          <value>
            <val>99.5</val>
          </value>
        </values>
      </ddeItem>
      <ddeItem name="PAGE.2.21.4" advise="1">
        <values>
          <value t="str">
            <val/>
          </value>
        </values>
      </ddeItem>
      <ddeItem name="PAGE.2.21.5" advise="1">
        <values>
          <value t="str">
            <val/>
          </value>
        </values>
      </ddeItem>
      <ddeItem name="PAGE.2.21.6" advise="1">
        <values>
          <value>
            <val>135000000</val>
          </value>
        </values>
      </ddeItem>
      <ddeItem name="PAGE.2.21.7" advise="1">
        <values>
          <value t="str">
            <val>12:30:12</val>
          </value>
        </values>
      </ddeItem>
      <ddeItem name="PAGE.2.21.8" advise="1">
        <values>
          <value>
            <val>135054201.02000001</val>
          </value>
        </values>
      </ddeItem>
      <ddeItem name="PAGE.2.21.9" advise="1">
        <values>
          <value>
            <val>0.53996370100000002</val>
          </value>
        </values>
      </ddeItem>
      <ddeItem name="PAGE.2.22.1" advise="1">
        <values>
          <value t="str">
            <val>15/12</val>
          </value>
        </values>
      </ddeItem>
      <ddeItem name="PAGE.2.22.10" advise="1">
        <values>
          <value>
            <val>119.452</val>
          </value>
        </values>
      </ddeItem>
      <ddeItem name="PAGE.2.22.11" advise="1">
        <values>
          <value t="str">
            <val>TRT040729T14_KESN_T0</val>
          </value>
        </values>
      </ddeItem>
      <ddeItem name="PAGE.2.22.2" advise="1">
        <values>
          <value t="str">
            <val>TRT040729T14</val>
          </value>
        </values>
      </ddeItem>
      <ddeItem name="PAGE.2.22.3" advise="1">
        <values>
          <value>
            <val>99.358999999999995</val>
          </value>
        </values>
      </ddeItem>
      <ddeItem name="PAGE.2.22.4" advise="1">
        <values>
          <value t="str">
            <val/>
          </value>
        </values>
      </ddeItem>
      <ddeItem name="PAGE.2.22.5" advise="1">
        <values>
          <value t="str">
            <val/>
          </value>
        </values>
      </ddeItem>
      <ddeItem name="PAGE.2.22.6" advise="1">
        <values>
          <value>
            <val>169000000</val>
          </value>
        </values>
      </ddeItem>
      <ddeItem name="PAGE.2.22.7" advise="1">
        <values>
          <value t="str">
            <val>13:59:57</val>
          </value>
        </values>
      </ddeItem>
      <ddeItem name="PAGE.2.22.8" advise="1">
        <values>
          <value>
            <val>201874107.16999999</val>
          </value>
        </values>
      </ddeItem>
      <ddeItem name="PAGE.2.22.9" advise="1">
        <values>
          <value>
            <val>20.093406593000001</val>
          </value>
        </values>
      </ddeItem>
      <ddeItem name="PAGE.2.23.1" advise="1">
        <values>
          <value t="str">
            <val>15/12</val>
          </value>
        </values>
      </ddeItem>
      <ddeItem name="PAGE.2.23.10" advise="1">
        <values>
          <value>
            <val>102.562</val>
          </value>
        </values>
      </ddeItem>
      <ddeItem name="PAGE.2.23.11" advise="1">
        <values>
          <value t="str">
            <val>TRT170528T12_KESN_T0</val>
          </value>
        </values>
      </ddeItem>
      <ddeItem name="PAGE.2.23.2" advise="1">
        <values>
          <value t="str">
            <val>TRT170528T12</val>
          </value>
        </values>
      </ddeItem>
      <ddeItem name="PAGE.2.23.3" advise="1">
        <values>
          <value>
            <val>99.721999999999994</val>
          </value>
        </values>
      </ddeItem>
      <ddeItem name="PAGE.2.23.4" advise="1">
        <values>
          <value t="str">
            <val/>
          </value>
        </values>
      </ddeItem>
      <ddeItem name="PAGE.2.23.5" advise="1">
        <values>
          <value t="str">
            <val/>
          </value>
        </values>
      </ddeItem>
      <ddeItem name="PAGE.2.23.6" advise="1">
        <values>
          <value>
            <val>47000000</val>
          </value>
        </values>
      </ddeItem>
      <ddeItem name="PAGE.2.23.7" advise="1">
        <values>
          <value t="str">
            <val>13:37:58</val>
          </value>
        </values>
      </ddeItem>
      <ddeItem name="PAGE.2.23.8" advise="1">
        <values>
          <value>
            <val>48204204.850000001</val>
          </value>
        </values>
      </ddeItem>
      <ddeItem name="PAGE.2.23.9" advise="1">
        <values>
          <value>
            <val>2.8397975340000001</val>
          </value>
        </values>
      </ddeItem>
      <ddeItem name="PAGE.2.24.1" advise="1">
        <values>
          <value t="str">
            <val>15/12</val>
          </value>
        </values>
      </ddeItem>
      <ddeItem name="PAGE.2.24.10" advise="1">
        <values>
          <value>
            <val>118.501</val>
          </value>
        </values>
      </ddeItem>
      <ddeItem name="PAGE.2.24.11" advise="1">
        <values>
          <value t="str">
            <val>TRT140727T14_KESN_T0</val>
          </value>
        </values>
      </ddeItem>
      <ddeItem name="PAGE.2.24.2" advise="1">
        <values>
          <value t="str">
            <val>TRT140727T14</val>
          </value>
        </values>
      </ddeItem>
      <ddeItem name="PAGE.2.24.3" advise="1">
        <values>
          <value>
            <val>102.7</val>
          </value>
        </values>
      </ddeItem>
      <ddeItem name="PAGE.2.24.4" advise="1">
        <values>
          <value>
            <val>35.28</val>
          </value>
        </values>
      </ddeItem>
      <ddeItem name="PAGE.2.24.5" advise="1">
        <values>
          <value>
            <val>38.39</val>
          </value>
        </values>
      </ddeItem>
      <ddeItem name="PAGE.2.24.6" advise="1">
        <values>
          <value>
            <val>57000000</val>
          </value>
        </values>
      </ddeItem>
      <ddeItem name="PAGE.2.24.7" advise="1">
        <values>
          <value t="str">
            <val>13:47:12</val>
          </value>
        </values>
      </ddeItem>
      <ddeItem name="PAGE.2.24.8" advise="1">
        <values>
          <value>
            <val>67545751.659999996</val>
          </value>
        </values>
      </ddeItem>
      <ddeItem name="PAGE.2.24.9" advise="1">
        <values>
          <value>
            <val>15.801318681</val>
          </value>
        </values>
      </ddeItem>
      <ddeItem name="PAGE.2.28.1" advise="1">
        <values>
          <value t="str">
            <val>15/12</val>
          </value>
        </values>
      </ddeItem>
      <ddeItem name="PAGE.2.28.10" advise="1">
        <values>
          <value t="str">
            <val/>
          </value>
        </values>
      </ddeItem>
      <ddeItem name="PAGE.2.28.11" advise="1">
        <values>
          <value t="str">
            <val>TRSSKBKA2716_KESN_T0</val>
          </value>
        </values>
      </ddeItem>
      <ddeItem name="PAGE.2.28.2" advise="1">
        <values>
          <value t="str">
            <val>TRSSKBKA2716</val>
          </value>
        </values>
      </ddeItem>
      <ddeItem name="PAGE.2.28.3" advise="1">
        <values>
          <value t="str">
            <val/>
          </value>
        </values>
      </ddeItem>
      <ddeItem name="PAGE.2.28.4" advise="1">
        <values>
          <value t="str">
            <val/>
          </value>
        </values>
      </ddeItem>
      <ddeItem name="PAGE.2.28.5" advise="1">
        <values>
          <value t="str">
            <val/>
          </value>
        </values>
      </ddeItem>
      <ddeItem name="PAGE.2.28.6" advise="1">
        <values>
          <value t="str">
            <val/>
          </value>
        </values>
      </ddeItem>
      <ddeItem name="PAGE.2.28.7" advise="1">
        <values>
          <value t="str">
            <val>09:47:22</val>
          </value>
        </values>
      </ddeItem>
      <ddeItem name="PAGE.2.28.8" advise="1">
        <values>
          <value t="str">
            <val/>
          </value>
        </values>
      </ddeItem>
      <ddeItem name="PAGE.2.28.9" advise="1">
        <values>
          <value>
            <val>0.285483871</val>
          </value>
        </values>
      </ddeItem>
      <ddeItem name="PAGE.2.3.1" advise="1">
        <values>
          <value t="str">
            <val>15/12</val>
          </value>
        </values>
      </ddeItem>
      <ddeItem name="PAGE.2.3.10" advise="1">
        <values>
          <value>
            <val>112.54300000000001</val>
          </value>
        </values>
      </ddeItem>
      <ddeItem name="PAGE.2.3.11" advise="1">
        <values>
          <value t="str">
            <val>TRD080927T34_KESN_T0</val>
          </value>
        </values>
      </ddeItem>
      <ddeItem name="PAGE.2.3.2" advise="1">
        <values>
          <value t="str">
            <val>TRD080927T34</val>
          </value>
        </values>
      </ddeItem>
      <ddeItem name="PAGE.2.3.3" advise="1">
        <values>
          <value>
            <val>101.202</val>
          </value>
        </values>
      </ddeItem>
      <ddeItem name="PAGE.2.3.4" advise="1">
        <values>
          <value t="str">
            <val/>
          </value>
        </values>
      </ddeItem>
      <ddeItem name="PAGE.2.3.5" advise="1">
        <values>
          <value t="str">
            <val/>
          </value>
        </values>
      </ddeItem>
      <ddeItem name="PAGE.2.3.6" advise="1">
        <values>
          <value>
            <val>16210000</val>
          </value>
        </values>
      </ddeItem>
      <ddeItem name="PAGE.2.3.7" advise="1">
        <values>
          <value t="str">
            <val>13:30:40</val>
          </value>
        </values>
      </ddeItem>
      <ddeItem name="PAGE.2.3.8" advise="1">
        <values>
          <value>
            <val>18243170.890000001</val>
          </value>
        </values>
      </ddeItem>
      <ddeItem name="PAGE.2.3.9" advise="1">
        <values>
          <value>
            <val>11.340659341</val>
          </value>
        </values>
      </ddeItem>
      <ddeItem name="PAGE.2.4.1" advise="1">
        <values>
          <value t="str">
            <val>15/12</val>
          </value>
        </values>
      </ddeItem>
      <ddeItem name="PAGE.2.4.10" advise="1">
        <values>
          <value>
            <val>84.614999999999995</val>
          </value>
        </values>
      </ddeItem>
      <ddeItem name="PAGE.2.4.11" advise="1">
        <values>
          <value t="str">
            <val>TRB170626T13_KESN_T0</val>
          </value>
        </values>
      </ddeItem>
      <ddeItem name="PAGE.2.4.2" advise="1">
        <values>
          <value t="str">
            <val>TRB170626T13</val>
          </value>
        </values>
      </ddeItem>
      <ddeItem name="PAGE.2.4.3" advise="1">
        <values>
          <value>
            <val>84.614999999999995</val>
          </value>
        </values>
      </ddeItem>
      <ddeItem name="PAGE.2.4.4" advise="1">
        <values>
          <value>
            <val>36.07</val>
          </value>
        </values>
      </ddeItem>
      <ddeItem name="PAGE.2.4.5" advise="1">
        <values>
          <value>
            <val>39.29</val>
          </value>
        </values>
      </ddeItem>
      <ddeItem name="PAGE.2.4.6" advise="1">
        <values>
          <value>
            <val>5053000000</val>
          </value>
        </values>
      </ddeItem>
      <ddeItem name="PAGE.2.4.7" advise="1">
        <values>
          <value t="str">
            <val>13:56:07</val>
          </value>
        </values>
      </ddeItem>
      <ddeItem name="PAGE.2.4.8" advise="1">
        <values>
          <value>
            <val>4275606932.8899999</val>
          </value>
        </values>
      </ddeItem>
      <ddeItem name="PAGE.2.4.9" advise="1">
        <values>
          <value t="str">
            <val/>
          </value>
        </values>
      </ddeItem>
      <ddeItem name="PAGE.2.41.1" advise="1">
        <values>
          <value t="str">
            <val>15/12</val>
          </value>
        </values>
      </ddeItem>
      <ddeItem name="PAGE.2.41.10" advise="1">
        <values>
          <value>
            <val>92.617999999999995</val>
          </value>
        </values>
      </ddeItem>
      <ddeItem name="PAGE.2.41.11" advise="1">
        <values>
          <value t="str">
            <val>TRB110326T12_KESN_T0</val>
          </value>
        </values>
      </ddeItem>
      <ddeItem name="PAGE.2.41.2" advise="1">
        <values>
          <value t="str">
            <val>TRB110326T12</val>
          </value>
        </values>
      </ddeItem>
      <ddeItem name="PAGE.2.41.3" advise="1">
        <values>
          <value>
            <val>92.617999999999995</val>
          </value>
        </values>
      </ddeItem>
      <ddeItem name="PAGE.2.41.4" advise="1">
        <values>
          <value>
            <val>33.83</val>
          </value>
        </values>
      </ddeItem>
      <ddeItem name="PAGE.2.41.5" advise="1">
        <values>
          <value>
            <val>38.47</val>
          </value>
        </values>
      </ddeItem>
      <ddeItem name="PAGE.2.41.6" advise="1">
        <values>
          <value>
            <val>48000000</val>
          </value>
        </values>
      </ddeItem>
      <ddeItem name="PAGE.2.41.7" advise="1">
        <values>
          <value t="str">
            <val>13:41:34</val>
          </value>
        </values>
      </ddeItem>
      <ddeItem name="PAGE.2.41.8" advise="1">
        <values>
          <value>
            <val>44456300.539999999</val>
          </value>
        </values>
      </ddeItem>
      <ddeItem name="PAGE.2.41.9" advise="1">
        <values>
          <value t="str">
            <val/>
          </value>
        </values>
      </ddeItem>
      <ddeItem name="PAGE.2.42.1" advise="1">
        <values>
          <value t="str">
            <val>15/12</val>
          </value>
        </values>
      </ddeItem>
      <ddeItem name="PAGE.2.42.10" advise="1">
        <values>
          <value t="str">
            <val/>
          </value>
        </values>
      </ddeItem>
      <ddeItem name="PAGE.2.42.11" advise="1">
        <values>
          <value t="str">
            <val>TRSSKBK52818_KESN_T0</val>
          </value>
        </values>
      </ddeItem>
      <ddeItem name="PAGE.2.42.2" advise="1">
        <values>
          <value t="str">
            <val>TRSSKBK52818</val>
          </value>
        </values>
      </ddeItem>
      <ddeItem name="PAGE.2.42.3" advise="1">
        <values>
          <value t="str">
            <val/>
          </value>
        </values>
      </ddeItem>
      <ddeItem name="PAGE.2.42.4" advise="1">
        <values>
          <value t="str">
            <val/>
          </value>
        </values>
      </ddeItem>
      <ddeItem name="PAGE.2.42.5" advise="1">
        <values>
          <value t="str">
            <val/>
          </value>
        </values>
      </ddeItem>
      <ddeItem name="PAGE.2.42.6" advise="1">
        <values>
          <value t="str">
            <val/>
          </value>
        </values>
      </ddeItem>
      <ddeItem name="PAGE.2.42.7" advise="1">
        <values>
          <value t="str">
            <val>09:45:41</val>
          </value>
        </values>
      </ddeItem>
      <ddeItem name="PAGE.2.42.8" advise="1">
        <values>
          <value t="str">
            <val/>
          </value>
        </values>
      </ddeItem>
      <ddeItem name="PAGE.2.42.9" advise="1">
        <values>
          <value>
            <val>0.285483871</val>
          </value>
        </values>
      </ddeItem>
      <ddeItem name="PAGE.2.43.1" advise="1">
        <values>
          <value t="str">
            <val>15/12</val>
          </value>
        </values>
      </ddeItem>
      <ddeItem name="PAGE.2.43.10" advise="1">
        <values>
          <value>
            <val>100.19</val>
          </value>
        </values>
      </ddeItem>
      <ddeItem name="PAGE.2.43.11" advise="1">
        <values>
          <value t="str">
            <val>TRT061228T16_KESN_T0</val>
          </value>
        </values>
      </ddeItem>
      <ddeItem name="PAGE.2.43.2" advise="1">
        <values>
          <value t="str">
            <val>TRT061228T16</val>
          </value>
        </values>
      </ddeItem>
      <ddeItem name="PAGE.2.43.3" advise="1">
        <values>
          <value>
            <val>99.65</val>
          </value>
        </values>
      </ddeItem>
      <ddeItem name="PAGE.2.43.4" advise="1">
        <values>
          <value t="str">
            <val/>
          </value>
        </values>
      </ddeItem>
      <ddeItem name="PAGE.2.43.5" advise="1">
        <values>
          <value t="str">
            <val/>
          </value>
        </values>
      </ddeItem>
      <ddeItem name="PAGE.2.43.6" advise="1">
        <values>
          <value>
            <val>91000000</val>
          </value>
        </values>
      </ddeItem>
      <ddeItem name="PAGE.2.43.7" advise="1">
        <values>
          <value t="str">
            <val>13:38:14</val>
          </value>
        </values>
      </ddeItem>
      <ddeItem name="PAGE.2.43.8" advise="1">
        <values>
          <value>
            <val>91172866.969999999</val>
          </value>
        </values>
      </ddeItem>
      <ddeItem name="PAGE.2.43.9" advise="1">
        <values>
          <value>
            <val>0.53996370100000002</val>
          </value>
        </values>
      </ddeItem>
      <ddeItem name="PAGE.2.45.1" advise="1">
        <values>
          <value t="str">
            <val>15/12</val>
          </value>
        </values>
      </ddeItem>
      <ddeItem name="PAGE.2.45.10" advise="1">
        <values>
          <value>
            <val>83.447000000000003</val>
          </value>
        </values>
      </ddeItem>
      <ddeItem name="PAGE.2.45.11" advise="1">
        <values>
          <value t="str">
            <val>TRD020828T14_KESN_T0</val>
          </value>
        </values>
      </ddeItem>
      <ddeItem name="PAGE.2.45.2" advise="1">
        <values>
          <value t="str">
            <val>TRD020828T14</val>
          </value>
        </values>
      </ddeItem>
      <ddeItem name="PAGE.2.45.3" advise="1">
        <values>
          <value>
            <val>76.400000000000006</val>
          </value>
        </values>
      </ddeItem>
      <ddeItem name="PAGE.2.45.4" advise="1">
        <values>
          <value>
            <val>33.67</val>
          </value>
        </values>
      </ddeItem>
      <ddeItem name="PAGE.2.45.5" advise="1">
        <values>
          <value>
            <val>36.5</val>
          </value>
        </values>
      </ddeItem>
      <ddeItem name="PAGE.2.45.6" advise="1">
        <values>
          <value>
            <val>150000</val>
          </value>
        </values>
      </ddeItem>
      <ddeItem name="PAGE.2.45.7" advise="1">
        <values>
          <value t="str">
            <val>11:39:23</val>
          </value>
        </values>
      </ddeItem>
      <ddeItem name="PAGE.2.45.8" advise="1">
        <values>
          <value>
            <val>125169.97</val>
          </value>
        </values>
      </ddeItem>
      <ddeItem name="PAGE.2.45.9" advise="1">
        <values>
          <value>
            <val>7.0466483520000001</val>
          </value>
        </values>
      </ddeItem>
      <ddeItem name="PAGE.2.46.1" advise="1">
        <values>
          <value t="str">
            <val>15/12</val>
          </value>
        </values>
      </ddeItem>
      <ddeItem name="PAGE.2.46.10" advise="1">
        <values>
          <value>
            <val>71.685000000000002</val>
          </value>
        </values>
      </ddeItem>
      <ddeItem name="PAGE.2.46.11" advise="1">
        <values>
          <value t="str">
            <val>TRD080927T18_KESN_T0</val>
          </value>
        </values>
      </ddeItem>
      <ddeItem name="PAGE.2.46.2" advise="1">
        <values>
          <value t="str">
            <val>TRD080927T18</val>
          </value>
        </values>
      </ddeItem>
      <ddeItem name="PAGE.2.46.3" advise="1">
        <values>
          <value>
            <val>69</val>
          </value>
        </values>
      </ddeItem>
      <ddeItem name="PAGE.2.46.4" advise="1">
        <values>
          <value>
            <val>35.51</val>
          </value>
        </values>
      </ddeItem>
      <ddeItem name="PAGE.2.46.5" advise="1">
        <values>
          <value>
            <val>38.659999999999997</val>
          </value>
        </values>
      </ddeItem>
      <ddeItem name="PAGE.2.46.6" advise="1">
        <values>
          <value>
            <val>200000</val>
          </value>
        </values>
      </ddeItem>
      <ddeItem name="PAGE.2.46.7" advise="1">
        <values>
          <value t="str">
            <val>10:02:00</val>
          </value>
        </values>
      </ddeItem>
      <ddeItem name="PAGE.2.46.8" advise="1">
        <values>
          <value>
            <val>143369.67000000001</val>
          </value>
        </values>
      </ddeItem>
      <ddeItem name="PAGE.2.46.9" advise="1">
        <values>
          <value>
            <val>2.684835165</val>
          </value>
        </values>
      </ddeItem>
      <ddeItem name="PAGE.2.47.1" advise="1">
        <values>
          <value t="str">
            <val>15/12</val>
          </value>
        </values>
      </ddeItem>
      <ddeItem name="PAGE.2.47.10" advise="1">
        <values>
          <value t="str">
            <val/>
          </value>
        </values>
      </ddeItem>
      <ddeItem name="PAGE.2.47.11" advise="1">
        <values>
          <value t="str">
            <val>TRD170730T14_KESN_T0</val>
          </value>
        </values>
      </ddeItem>
      <ddeItem name="PAGE.2.47.2" advise="1">
        <values>
          <value t="str">
            <val>TRD170730T14</val>
          </value>
        </values>
      </ddeItem>
      <ddeItem name="PAGE.2.47.3" advise="1">
        <values>
          <value t="str">
            <val/>
          </value>
        </values>
      </ddeItem>
      <ddeItem name="PAGE.2.47.4" advise="1">
        <values>
          <value t="str">
            <val/>
          </value>
        </values>
      </ddeItem>
      <ddeItem name="PAGE.2.47.5" advise="1">
        <values>
          <value t="str">
            <val/>
          </value>
        </values>
      </ddeItem>
      <ddeItem name="PAGE.2.47.6" advise="1">
        <values>
          <value t="str">
            <val/>
          </value>
        </values>
      </ddeItem>
      <ddeItem name="PAGE.2.47.7" advise="1">
        <values>
          <value t="str">
            <val>09:50:16</val>
          </value>
        </values>
      </ddeItem>
      <ddeItem name="PAGE.2.47.8" advise="1">
        <values>
          <value t="str">
            <val/>
          </value>
        </values>
      </ddeItem>
      <ddeItem name="PAGE.2.47.9" advise="1">
        <values>
          <value>
            <val>13.289010988999999</val>
          </value>
        </values>
      </ddeItem>
      <ddeItem name="PAGE.2.48.1" advise="1">
        <values>
          <value t="str">
            <val>15/12</val>
          </value>
        </values>
      </ddeItem>
      <ddeItem name="PAGE.2.48.10" advise="1">
        <values>
          <value t="str">
            <val/>
          </value>
        </values>
      </ddeItem>
      <ddeItem name="PAGE.2.48.11" advise="1">
        <values>
          <value t="str">
            <val>TRD171127T13_KESN_T0</val>
          </value>
        </values>
      </ddeItem>
      <ddeItem name="PAGE.2.48.2" advise="1">
        <values>
          <value t="str">
            <val>TRD171127T13</val>
          </value>
        </values>
      </ddeItem>
      <ddeItem name="PAGE.2.48.3" advise="1">
        <values>
          <value t="str">
            <val/>
          </value>
        </values>
      </ddeItem>
      <ddeItem name="PAGE.2.48.4" advise="1">
        <values>
          <value t="str">
            <val/>
          </value>
        </values>
      </ddeItem>
      <ddeItem name="PAGE.2.48.5" advise="1">
        <values>
          <value t="str">
            <val/>
          </value>
        </values>
      </ddeItem>
      <ddeItem name="PAGE.2.48.6" advise="1">
        <values>
          <value t="str">
            <val/>
          </value>
        </values>
      </ddeItem>
      <ddeItem name="PAGE.2.48.7" advise="1">
        <values>
          <value t="str">
            <val>09:51:21</val>
          </value>
        </values>
      </ddeItem>
      <ddeItem name="PAGE.2.48.8" advise="1">
        <values>
          <value t="str">
            <val/>
          </value>
        </values>
      </ddeItem>
      <ddeItem name="PAGE.2.48.9" advise="1">
        <values>
          <value>
            <val>2.7142857139999998</val>
          </value>
        </values>
      </ddeItem>
      <ddeItem name="PAGE.2.49.1" advise="1">
        <values>
          <value t="str">
            <val>15/12</val>
          </value>
        </values>
      </ddeItem>
      <ddeItem name="PAGE.2.49.10" advise="1">
        <values>
          <value>
            <val>100.15900000000001</val>
          </value>
        </values>
      </ddeItem>
      <ddeItem name="PAGE.2.49.11" advise="1">
        <values>
          <value t="str">
            <val>TRT060928T11_KESN_T0</val>
          </value>
        </values>
      </ddeItem>
      <ddeItem name="PAGE.2.49.2" advise="1">
        <values>
          <value t="str">
            <val>TRT060928T11</val>
          </value>
        </values>
      </ddeItem>
      <ddeItem name="PAGE.2.49.3" advise="1">
        <values>
          <value>
            <val>99.619</val>
          </value>
        </values>
      </ddeItem>
      <ddeItem name="PAGE.2.49.4" advise="1">
        <values>
          <value t="str">
            <val/>
          </value>
        </values>
      </ddeItem>
      <ddeItem name="PAGE.2.49.5" advise="1">
        <values>
          <value t="str">
            <val/>
          </value>
        </values>
      </ddeItem>
      <ddeItem name="PAGE.2.49.6" advise="1">
        <values>
          <value>
            <val>164000000</val>
          </value>
        </values>
      </ddeItem>
      <ddeItem name="PAGE.2.49.7" advise="1">
        <values>
          <value t="str">
            <val>13:55:44</val>
          </value>
        </values>
      </ddeItem>
      <ddeItem name="PAGE.2.49.8" advise="1">
        <values>
          <value>
            <val>164261040.5</val>
          </value>
        </values>
      </ddeItem>
      <ddeItem name="PAGE.2.49.9" advise="1">
        <values>
          <value>
            <val>0.53996370100000002</val>
          </value>
        </values>
      </ddeItem>
      <ddeItem name="PAGE.2.5.1" advise="1">
        <values>
          <value t="str">
            <val>15/12</val>
          </value>
        </values>
      </ddeItem>
      <ddeItem name="PAGE.2.5.10" advise="1">
        <values>
          <value>
            <val>111.55</val>
          </value>
        </values>
      </ddeItem>
      <ddeItem name="PAGE.2.5.11" advise="1">
        <values>
          <value t="str">
            <val>TRT050935T13_KESN_T0</val>
          </value>
        </values>
      </ddeItem>
      <ddeItem name="PAGE.2.5.2" advise="1">
        <values>
          <value t="str">
            <val>TRT050935T13</val>
          </value>
        </values>
      </ddeItem>
      <ddeItem name="PAGE.2.5.3" advise="1">
        <values>
          <value>
            <val>104.2</val>
          </value>
        </values>
      </ddeItem>
      <ddeItem name="PAGE.2.5.4" advise="1">
        <values>
          <value>
            <val>28.68</val>
          </value>
        </values>
      </ddeItem>
      <ddeItem name="PAGE.2.5.5" advise="1">
        <values>
          <value>
            <val>30.74</val>
          </value>
        </values>
      </ddeItem>
      <ddeItem name="PAGE.2.5.6" advise="1">
        <values>
          <value>
            <val>1000000</val>
          </value>
        </values>
      </ddeItem>
      <ddeItem name="PAGE.2.5.7" advise="1">
        <values>
          <value t="str">
            <val>13:46:32</val>
          </value>
        </values>
      </ddeItem>
      <ddeItem name="PAGE.2.5.8" advise="1">
        <values>
          <value>
            <val>1115498.3500000001</val>
          </value>
        </values>
      </ddeItem>
      <ddeItem name="PAGE.2.5.9" advise="1">
        <values>
          <value>
            <val>7.349835165</val>
          </value>
        </values>
      </ddeItem>
      <ddeItem name="PAGE.2.50.1" advise="1">
        <values>
          <value t="str">
            <val>15/12</val>
          </value>
        </values>
      </ddeItem>
      <ddeItem name="PAGE.2.50.10" advise="1">
        <values>
          <value>
            <val>71.838999999999999</val>
          </value>
        </values>
      </ddeItem>
      <ddeItem name="PAGE.2.50.11" advise="1">
        <values>
          <value t="str">
            <val>TRT150927T11_KESN_T0</val>
          </value>
        </values>
      </ddeItem>
      <ddeItem name="PAGE.2.50.2" advise="1">
        <values>
          <value t="str">
            <val>TRT150927T11</val>
          </value>
        </values>
      </ddeItem>
      <ddeItem name="PAGE.2.50.3" advise="1">
        <values>
          <value>
            <val>69.325000000000003</val>
          </value>
        </values>
      </ddeItem>
      <ddeItem name="PAGE.2.50.4" advise="1">
        <values>
          <value>
            <val>35.03</val>
          </value>
        </values>
      </ddeItem>
      <ddeItem name="PAGE.2.50.5" advise="1">
        <values>
          <value>
            <val>38.1</val>
          </value>
        </values>
      </ddeItem>
      <ddeItem name="PAGE.2.50.6" advise="1">
        <values>
          <value>
            <val>2000000</val>
          </value>
        </values>
      </ddeItem>
      <ddeItem name="PAGE.2.50.7" advise="1">
        <values>
          <value t="str">
            <val>13:52:33</val>
          </value>
        </values>
      </ddeItem>
      <ddeItem name="PAGE.2.50.8" advise="1">
        <values>
          <value>
            <val>1436770.32</val>
          </value>
        </values>
      </ddeItem>
      <ddeItem name="PAGE.2.50.9" advise="1">
        <values>
          <value>
            <val>2.5135164840000002</val>
          </value>
        </values>
      </ddeItem>
      <ddeItem name="PAGE.2.51.1" advise="1">
        <values>
          <value t="str">
            <val>15/12</val>
          </value>
        </values>
      </ddeItem>
      <ddeItem name="PAGE.2.51.10" advise="1">
        <values>
          <value>
            <val>108.172</val>
          </value>
        </values>
      </ddeItem>
      <ddeItem name="PAGE.2.51.11" advise="1">
        <values>
          <value t="str">
            <val>TRT131027T36_KESN_T0</val>
          </value>
        </values>
      </ddeItem>
      <ddeItem name="PAGE.2.51.2" advise="1">
        <values>
          <value t="str">
            <val>TRT131027T36</val>
          </value>
        </values>
      </ddeItem>
      <ddeItem name="PAGE.2.51.3" advise="1">
        <values>
          <value>
            <val>102.008</val>
          </value>
        </values>
      </ddeItem>
      <ddeItem name="PAGE.2.51.4" advise="1">
        <values>
          <value>
            <val>34.950000000000003</val>
          </value>
        </values>
      </ddeItem>
      <ddeItem name="PAGE.2.51.5" advise="1">
        <values>
          <value>
            <val>38.01</val>
          </value>
        </values>
      </ddeItem>
      <ddeItem name="PAGE.2.51.6" advise="1">
        <values>
          <value>
            <val>331000000</val>
          </value>
        </values>
      </ddeItem>
      <ddeItem name="PAGE.2.51.7" advise="1">
        <values>
          <value t="str">
            <val>13:47:30</val>
          </value>
        </values>
      </ddeItem>
      <ddeItem name="PAGE.2.51.8" advise="1">
        <values>
          <value>
            <val>358049355.13</val>
          </value>
        </values>
      </ddeItem>
      <ddeItem name="PAGE.2.51.9" advise="1">
        <values>
          <value>
            <val>6.1636813190000002</val>
          </value>
        </values>
      </ddeItem>
      <ddeItem name="PAGE.2.52.1" advise="1">
        <values>
          <value t="str">
            <val>15/12</val>
          </value>
        </values>
      </ddeItem>
      <ddeItem name="PAGE.2.52.10" advise="1">
        <values>
          <value t="str">
            <val/>
          </value>
        </values>
      </ddeItem>
      <ddeItem name="PAGE.2.52.11" advise="1">
        <values>
          <value t="str">
            <val>TRT050630T11_KESN_T0</val>
          </value>
        </values>
      </ddeItem>
      <ddeItem name="PAGE.2.52.2" advise="1">
        <values>
          <value t="str">
            <val>TRT050630T11</val>
          </value>
        </values>
      </ddeItem>
      <ddeItem name="PAGE.2.52.3" advise="1">
        <values>
          <value t="str">
            <val/>
          </value>
        </values>
      </ddeItem>
      <ddeItem name="PAGE.2.52.4" advise="1">
        <values>
          <value t="str">
            <val/>
          </value>
        </values>
      </ddeItem>
      <ddeItem name="PAGE.2.52.5" advise="1">
        <values>
          <value t="str">
            <val/>
          </value>
        </values>
      </ddeItem>
      <ddeItem name="PAGE.2.52.6" advise="1">
        <values>
          <value t="str">
            <val/>
          </value>
        </values>
      </ddeItem>
      <ddeItem name="PAGE.2.52.7" advise="1">
        <values>
          <value t="str">
            <val>10:03:57</val>
          </value>
        </values>
      </ddeItem>
      <ddeItem name="PAGE.2.52.8" advise="1">
        <values>
          <value t="str">
            <val/>
          </value>
        </values>
      </ddeItem>
      <ddeItem name="PAGE.2.52.9" advise="1">
        <values>
          <value>
            <val>0.51098901100000005</val>
          </value>
        </values>
      </ddeItem>
      <ddeItem name="PAGE.2.53.1" advise="1">
        <values>
          <value t="str">
            <val>15/12</val>
          </value>
        </values>
      </ddeItem>
      <ddeItem name="PAGE.2.53.10" advise="1">
        <values>
          <value t="str">
            <val/>
          </value>
        </values>
      </ddeItem>
      <ddeItem name="PAGE.2.53.11" advise="1">
        <values>
          <value t="str">
            <val>TRD070427T14_KESN_T0</val>
          </value>
        </values>
      </ddeItem>
      <ddeItem name="PAGE.2.53.2" advise="1">
        <values>
          <value t="str">
            <val>TRD070427T14</val>
          </value>
        </values>
      </ddeItem>
      <ddeItem name="PAGE.2.53.3" advise="1">
        <values>
          <value t="str">
            <val/>
          </value>
        </values>
      </ddeItem>
      <ddeItem name="PAGE.2.53.4" advise="1">
        <values>
          <value t="str">
            <val/>
          </value>
        </values>
      </ddeItem>
      <ddeItem name="PAGE.2.53.5" advise="1">
        <values>
          <value t="str">
            <val/>
          </value>
        </values>
      </ddeItem>
      <ddeItem name="PAGE.2.53.6" advise="1">
        <values>
          <value t="str">
            <val/>
          </value>
        </values>
      </ddeItem>
      <ddeItem name="PAGE.2.53.7" advise="1">
        <values>
          <value t="str">
            <val>09:52:40</val>
          </value>
        </values>
      </ddeItem>
      <ddeItem name="PAGE.2.53.8" advise="1">
        <values>
          <value t="str">
            <val/>
          </value>
        </values>
      </ddeItem>
      <ddeItem name="PAGE.2.53.9" advise="1">
        <values>
          <value>
            <val>7.9619780220000003</val>
          </value>
        </values>
      </ddeItem>
      <ddeItem name="PAGE.2.54.1" advise="1">
        <values>
          <value t="str">
            <val>15/12</val>
          </value>
        </values>
      </ddeItem>
      <ddeItem name="PAGE.2.54.10" advise="1">
        <values>
          <value t="str">
            <val/>
          </value>
        </values>
      </ddeItem>
      <ddeItem name="PAGE.2.54.11" advise="1">
        <values>
          <value t="str">
            <val>TRT010328T12_KESN_T0</val>
          </value>
        </values>
      </ddeItem>
      <ddeItem name="PAGE.2.54.2" advise="1">
        <values>
          <value t="str">
            <val>TRT010328T12</val>
          </value>
        </values>
      </ddeItem>
      <ddeItem name="PAGE.2.54.3" advise="1">
        <values>
          <value t="str">
            <val/>
          </value>
        </values>
      </ddeItem>
      <ddeItem name="PAGE.2.54.4" advise="1">
        <values>
          <value t="str">
            <val/>
          </value>
        </values>
      </ddeItem>
      <ddeItem name="PAGE.2.54.5" advise="1">
        <values>
          <value t="str">
            <val/>
          </value>
        </values>
      </ddeItem>
      <ddeItem name="PAGE.2.54.6" advise="1">
        <values>
          <value t="str">
            <val/>
          </value>
        </values>
      </ddeItem>
      <ddeItem name="PAGE.2.54.7" advise="1">
        <values>
          <value t="str">
            <val>10:20:20</val>
          </value>
        </values>
      </ddeItem>
      <ddeItem name="PAGE.2.54.8" advise="1">
        <values>
          <value t="str">
            <val/>
          </value>
        </values>
      </ddeItem>
      <ddeItem name="PAGE.2.54.9" advise="1">
        <values>
          <value>
            <val>1.300877982</val>
          </value>
        </values>
      </ddeItem>
      <ddeItem name="PAGE.2.55.1" advise="1">
        <values>
          <value t="str">
            <val>15/12</val>
          </value>
        </values>
      </ddeItem>
      <ddeItem name="PAGE.2.55.10" advise="1">
        <values>
          <value>
            <val>108.18</val>
          </value>
        </values>
      </ddeItem>
      <ddeItem name="PAGE.2.55.11" advise="1">
        <values>
          <value t="str">
            <val>TRT100227T13_KESN_T0</val>
          </value>
        </values>
      </ddeItem>
      <ddeItem name="PAGE.2.55.2" advise="1">
        <values>
          <value t="str">
            <val>TRT100227T13</val>
          </value>
        </values>
      </ddeItem>
      <ddeItem name="PAGE.2.55.3" advise="1">
        <values>
          <value>
            <val>97.075000000000003</val>
          </value>
        </values>
      </ddeItem>
      <ddeItem name="PAGE.2.55.4" advise="1">
        <values>
          <value>
            <val>35.56</val>
          </value>
        </values>
      </ddeItem>
      <ddeItem name="PAGE.2.55.5" advise="1">
        <values>
          <value>
            <val>38.72</val>
          </value>
        </values>
      </ddeItem>
      <ddeItem name="PAGE.2.55.6" advise="1">
        <values>
          <value>
            <val>2000000</val>
          </value>
        </values>
      </ddeItem>
      <ddeItem name="PAGE.2.55.7" advise="1">
        <values>
          <value t="str">
            <val>13:52:26</val>
          </value>
        </values>
      </ddeItem>
      <ddeItem name="PAGE.2.55.8" advise="1">
        <values>
          <value>
            <val>2163609.9</val>
          </value>
        </values>
      </ddeItem>
      <ddeItem name="PAGE.2.55.9" advise="1">
        <values>
          <value>
            <val>11.105494504999999</val>
          </value>
        </values>
      </ddeItem>
      <ddeItem name="PAGE.2.56.1" advise="1">
        <values>
          <value t="str">
            <val>15/12</val>
          </value>
        </values>
      </ddeItem>
      <ddeItem name="PAGE.2.56.10" advise="1">
        <values>
          <value t="str">
            <val/>
          </value>
        </values>
      </ddeItem>
      <ddeItem name="PAGE.2.56.11" advise="1">
        <values>
          <value t="str">
            <val>TRT131027T10_KESN_T0</val>
          </value>
        </values>
      </ddeItem>
      <ddeItem name="PAGE.2.56.2" advise="1">
        <values>
          <value t="str">
            <val>TRT131027T10</val>
          </value>
        </values>
      </ddeItem>
      <ddeItem name="PAGE.2.56.3" advise="1">
        <values>
          <value t="str">
            <val/>
          </value>
        </values>
      </ddeItem>
      <ddeItem name="PAGE.2.56.4" advise="1">
        <values>
          <value t="str">
            <val/>
          </value>
        </values>
      </ddeItem>
      <ddeItem name="PAGE.2.56.5" advise="1">
        <values>
          <value t="str">
            <val/>
          </value>
        </values>
      </ddeItem>
      <ddeItem name="PAGE.2.56.6" advise="1">
        <values>
          <value t="str">
            <val/>
          </value>
        </values>
      </ddeItem>
      <ddeItem name="PAGE.2.56.7" advise="1">
        <values>
          <value t="str">
            <val>11:57:17</val>
          </value>
        </values>
      </ddeItem>
      <ddeItem name="PAGE.2.56.8" advise="1">
        <values>
          <value t="str">
            <val/>
          </value>
        </values>
      </ddeItem>
      <ddeItem name="PAGE.2.56.9" advise="1">
        <values>
          <value>
            <val>6.8076151669999998</val>
          </value>
        </values>
      </ddeItem>
      <ddeItem name="PAGE.2.57.1" advise="1">
        <values>
          <value t="str">
            <val>15/12</val>
          </value>
        </values>
      </ddeItem>
      <ddeItem name="PAGE.2.57.10" advise="1">
        <values>
          <value t="str">
            <val/>
          </value>
        </values>
      </ddeItem>
      <ddeItem name="PAGE.2.57.11" advise="1">
        <values>
          <value t="str">
            <val>TRT120826T16_KESN_T0</val>
          </value>
        </values>
      </ddeItem>
      <ddeItem name="PAGE.2.57.2" advise="1">
        <values>
          <value t="str">
            <val>TRT120826T16</val>
          </value>
        </values>
      </ddeItem>
      <ddeItem name="PAGE.2.57.3" advise="1">
        <values>
          <value t="str">
            <val/>
          </value>
        </values>
      </ddeItem>
      <ddeItem name="PAGE.2.57.4" advise="1">
        <values>
          <value t="str">
            <val/>
          </value>
        </values>
      </ddeItem>
      <ddeItem name="PAGE.2.57.5" advise="1">
        <values>
          <value t="str">
            <val/>
          </value>
        </values>
      </ddeItem>
      <ddeItem name="PAGE.2.57.6" advise="1">
        <values>
          <value t="str">
            <val/>
          </value>
        </values>
      </ddeItem>
      <ddeItem name="PAGE.2.57.7" advise="1">
        <values>
          <value t="str">
            <val>13:44:55</val>
          </value>
        </values>
      </ddeItem>
      <ddeItem name="PAGE.2.57.8" advise="1">
        <values>
          <value t="str">
            <val/>
          </value>
        </values>
      </ddeItem>
      <ddeItem name="PAGE.2.57.9" advise="1">
        <values>
          <value>
            <val>12.263736264</val>
          </value>
        </values>
      </ddeItem>
      <ddeItem name="PAGE.2.58.1" advise="1">
        <values>
          <value t="str">
            <val>15/12</val>
          </value>
        </values>
      </ddeItem>
      <ddeItem name="PAGE.2.58.10" advise="1">
        <values>
          <value>
            <val>101.735</val>
          </value>
        </values>
      </ddeItem>
      <ddeItem name="PAGE.2.58.11" advise="1">
        <values>
          <value t="str">
            <val>TRT120929T12_KESN_T0</val>
          </value>
        </values>
      </ddeItem>
      <ddeItem name="PAGE.2.58.2" advise="1">
        <values>
          <value t="str">
            <val>TRT120929T12</val>
          </value>
        </values>
      </ddeItem>
      <ddeItem name="PAGE.2.58.3" advise="1">
        <values>
          <value>
            <val>94.4</val>
          </value>
        </values>
      </ddeItem>
      <ddeItem name="PAGE.2.58.4" advise="1">
        <values>
          <value>
            <val>32.549999999999997</val>
          </value>
        </values>
      </ddeItem>
      <ddeItem name="PAGE.2.58.5" advise="1">
        <values>
          <value>
            <val>35.200000000000003</val>
          </value>
        </values>
      </ddeItem>
      <ddeItem name="PAGE.2.58.6" advise="1">
        <values>
          <value>
            <val>26000000</val>
          </value>
        </values>
      </ddeItem>
      <ddeItem name="PAGE.2.58.7" advise="1">
        <values>
          <value t="str">
            <val>13:32:58</val>
          </value>
        </values>
      </ddeItem>
      <ddeItem name="PAGE.2.58.8" advise="1">
        <values>
          <value>
            <val>26451142.859999999</val>
          </value>
        </values>
      </ddeItem>
      <ddeItem name="PAGE.2.58.9" advise="1">
        <values>
          <value>
            <val>7.3351648349999996</val>
          </value>
        </values>
      </ddeItem>
      <ddeItem name="PAGE.2.59.1" advise="1">
        <values>
          <value t="str">
            <val>15/12</val>
          </value>
        </values>
      </ddeItem>
      <ddeItem name="PAGE.2.59.10" advise="1">
        <values>
          <value>
            <val>99.268000000000001</val>
          </value>
        </values>
      </ddeItem>
      <ddeItem name="PAGE.2.59.11" advise="1">
        <values>
          <value t="str">
            <val>TRT081128T15_KESN_T0</val>
          </value>
        </values>
      </ddeItem>
      <ddeItem name="PAGE.2.59.2" advise="1">
        <values>
          <value t="str">
            <val>TRT081128T15</val>
          </value>
        </values>
      </ddeItem>
      <ddeItem name="PAGE.2.59.3" advise="1">
        <values>
          <value>
            <val>96.45</val>
          </value>
        </values>
      </ddeItem>
      <ddeItem name="PAGE.2.59.4" advise="1">
        <values>
          <value>
            <val>32.97</val>
          </value>
        </values>
      </ddeItem>
      <ddeItem name="PAGE.2.59.5" advise="1">
        <values>
          <value>
            <val>35.69</val>
          </value>
        </values>
      </ddeItem>
      <ddeItem name="PAGE.2.59.6" advise="1">
        <values>
          <value>
            <val>46000000</val>
          </value>
        </values>
      </ddeItem>
      <ddeItem name="PAGE.2.59.7" advise="1">
        <values>
          <value t="str">
            <val>13:32:14</val>
          </value>
        </values>
      </ddeItem>
      <ddeItem name="PAGE.2.59.8" advise="1">
        <values>
          <value>
            <val>45663138.469999999</val>
          </value>
        </values>
      </ddeItem>
      <ddeItem name="PAGE.2.59.9" advise="1">
        <values>
          <value>
            <val>2.8176923079999998</val>
          </value>
        </values>
      </ddeItem>
      <ddeItem name="PAGE.2.60.1" advise="1">
        <values>
          <value t="str">
            <val>15/12</val>
          </value>
        </values>
      </ddeItem>
      <ddeItem name="PAGE.2.60.10" advise="1">
        <values>
          <value>
            <val>73.840999999999994</val>
          </value>
        </values>
      </ddeItem>
      <ddeItem name="PAGE.2.60.11" advise="1">
        <values>
          <value t="str">
            <val>TRT130733T17_KESN_T0</val>
          </value>
        </values>
      </ddeItem>
      <ddeItem name="PAGE.2.60.2" advise="1">
        <values>
          <value t="str">
            <val>TRT130733T17</val>
          </value>
        </values>
      </ddeItem>
      <ddeItem name="PAGE.2.60.3" advise="1">
        <values>
          <value>
            <val>66.75</val>
          </value>
        </values>
      </ddeItem>
      <ddeItem name="PAGE.2.60.4" advise="1">
        <values>
          <value>
            <val>28.75</val>
          </value>
        </values>
      </ddeItem>
      <ddeItem name="PAGE.2.60.5" advise="1">
        <values>
          <value>
            <val>30.82</val>
          </value>
        </values>
      </ddeItem>
      <ddeItem name="PAGE.2.60.6" advise="1">
        <values>
          <value>
            <val>4000000</val>
          </value>
        </values>
      </ddeItem>
      <ddeItem name="PAGE.2.60.7" advise="1">
        <values>
          <value t="str">
            <val>11:55:49</val>
          </value>
        </values>
      </ddeItem>
      <ddeItem name="PAGE.2.60.8" advise="1">
        <values>
          <value>
            <val>2953626.37</val>
          </value>
        </values>
      </ddeItem>
      <ddeItem name="PAGE.2.60.9" advise="1">
        <values>
          <value>
            <val>7.0906593410000003</val>
          </value>
        </values>
      </ddeItem>
      <ddeItem name="PAGE.2.61.1" advise="1">
        <values>
          <value t="str">
            <val>15/12</val>
          </value>
        </values>
      </ddeItem>
      <ddeItem name="PAGE.2.61.10" advise="1">
        <values>
          <value t="str">
            <val/>
          </value>
        </values>
      </ddeItem>
      <ddeItem name="PAGE.2.61.11" advise="1">
        <values>
          <value t="str">
            <val>TRD170129T13_KESN_T0</val>
          </value>
        </values>
      </ddeItem>
      <ddeItem name="PAGE.2.61.2" advise="1">
        <values>
          <value t="str">
            <val>TRD170129T13</val>
          </value>
        </values>
      </ddeItem>
      <ddeItem name="PAGE.2.61.3" advise="1">
        <values>
          <value t="str">
            <val/>
          </value>
        </values>
      </ddeItem>
      <ddeItem name="PAGE.2.61.4" advise="1">
        <values>
          <value t="str">
            <val/>
          </value>
        </values>
      </ddeItem>
      <ddeItem name="PAGE.2.61.5" advise="1">
        <values>
          <value t="str">
            <val/>
          </value>
        </values>
      </ddeItem>
      <ddeItem name="PAGE.2.61.6" advise="1">
        <values>
          <value t="str">
            <val/>
          </value>
        </values>
      </ddeItem>
      <ddeItem name="PAGE.2.61.7" advise="1">
        <values>
          <value t="str">
            <val>10:02:24</val>
          </value>
        </values>
      </ddeItem>
      <ddeItem name="PAGE.2.61.8" advise="1">
        <values>
          <value t="str">
            <val/>
          </value>
        </values>
      </ddeItem>
      <ddeItem name="PAGE.2.61.9" advise="1">
        <values>
          <value>
            <val>11.424725275</val>
          </value>
        </values>
      </ddeItem>
      <ddeItem name="PAGE.2.62.1" advise="1">
        <values>
          <value t="str">
            <val>15/12</val>
          </value>
        </values>
      </ddeItem>
      <ddeItem name="PAGE.2.62.10" advise="1">
        <values>
          <value t="str">
            <val/>
          </value>
        </values>
      </ddeItem>
      <ddeItem name="PAGE.2.62.11" advise="1">
        <values>
          <value t="str">
            <val>TRT190128T14_KESN_T0</val>
          </value>
        </values>
      </ddeItem>
      <ddeItem name="PAGE.2.62.2" advise="1">
        <values>
          <value t="str">
            <val>TRT190128T14</val>
          </value>
        </values>
      </ddeItem>
      <ddeItem name="PAGE.2.62.3" advise="1">
        <values>
          <value t="str">
            <val/>
          </value>
        </values>
      </ddeItem>
      <ddeItem name="PAGE.2.62.4" advise="1">
        <values>
          <value t="str">
            <val/>
          </value>
        </values>
      </ddeItem>
      <ddeItem name="PAGE.2.62.5" advise="1">
        <values>
          <value t="str">
            <val/>
          </value>
        </values>
      </ddeItem>
      <ddeItem name="PAGE.2.62.6" advise="1">
        <values>
          <value t="str">
            <val/>
          </value>
        </values>
      </ddeItem>
      <ddeItem name="PAGE.2.62.7" advise="1">
        <values>
          <value t="str">
            <val>13:11:50</val>
          </value>
        </values>
      </ddeItem>
      <ddeItem name="PAGE.2.62.8" advise="1">
        <values>
          <value t="str">
            <val/>
          </value>
        </values>
      </ddeItem>
      <ddeItem name="PAGE.2.62.9" advise="1">
        <values>
          <value>
            <val>5.9892138690000003</val>
          </value>
        </values>
      </ddeItem>
      <ddeItem name="PAGE.2.63.1" advise="1">
        <values>
          <value t="str">
            <val>15/12</val>
          </value>
        </values>
      </ddeItem>
      <ddeItem name="PAGE.2.63.10" advise="1">
        <values>
          <value t="str">
            <val/>
          </value>
        </values>
      </ddeItem>
      <ddeItem name="PAGE.2.63.11" advise="1">
        <values>
          <value t="str">
            <val>TRSSMAR82610_KESN_T0</val>
          </value>
        </values>
      </ddeItem>
      <ddeItem name="PAGE.2.63.2" advise="1">
        <values>
          <value t="str">
            <val>TRSSMAR82610</val>
          </value>
        </values>
      </ddeItem>
      <ddeItem name="PAGE.2.63.3" advise="1">
        <values>
          <value t="str">
            <val/>
          </value>
        </values>
      </ddeItem>
      <ddeItem name="PAGE.2.63.4" advise="1">
        <values>
          <value t="str">
            <val/>
          </value>
        </values>
      </ddeItem>
      <ddeItem name="PAGE.2.63.5" advise="1">
        <values>
          <value t="str">
            <val/>
          </value>
        </values>
      </ddeItem>
      <ddeItem name="PAGE.2.63.6" advise="1">
        <values>
          <value t="str">
            <val/>
          </value>
        </values>
      </ddeItem>
      <ddeItem name="PAGE.2.63.7" advise="1">
        <values>
          <value t="str">
            <val>10:05:48</val>
          </value>
        </values>
      </ddeItem>
      <ddeItem name="PAGE.2.63.8" advise="1">
        <values>
          <value t="str">
            <val/>
          </value>
        </values>
      </ddeItem>
      <ddeItem name="PAGE.2.63.9" advise="1">
        <values>
          <value t="str">
            <val/>
          </value>
        </values>
      </ddeItem>
      <ddeItem name="PAGE.2.66.1" advise="1">
        <values>
          <value t="str">
            <val>15/12</val>
          </value>
        </values>
      </ddeItem>
      <ddeItem name="PAGE.2.66.10" advise="1">
        <values>
          <value t="str">
            <val/>
          </value>
        </values>
      </ddeItem>
      <ddeItem name="PAGE.2.66.11" advise="1">
        <values>
          <value t="str">
            <val>TRD081128T13_KESN_T0</val>
          </value>
        </values>
      </ddeItem>
      <ddeItem name="PAGE.2.66.2" advise="1">
        <values>
          <value t="str">
            <val>TRD081128T13</val>
          </value>
        </values>
      </ddeItem>
      <ddeItem name="PAGE.2.66.3" advise="1">
        <values>
          <value t="str">
            <val/>
          </value>
        </values>
      </ddeItem>
      <ddeItem name="PAGE.2.66.4" advise="1">
        <values>
          <value t="str">
            <val/>
          </value>
        </values>
      </ddeItem>
      <ddeItem name="PAGE.2.66.5" advise="1">
        <values>
          <value t="str">
            <val/>
          </value>
        </values>
      </ddeItem>
      <ddeItem name="PAGE.2.66.6" advise="1">
        <values>
          <value t="str">
            <val/>
          </value>
        </values>
      </ddeItem>
      <ddeItem name="PAGE.2.66.7" advise="1">
        <values>
          <value t="str">
            <val>10:07:27</val>
          </value>
        </values>
      </ddeItem>
      <ddeItem name="PAGE.2.66.8" advise="1">
        <values>
          <value t="str">
            <val/>
          </value>
        </values>
      </ddeItem>
      <ddeItem name="PAGE.2.66.9" advise="1">
        <values>
          <value>
            <val>2.988131868</val>
          </value>
        </values>
      </ddeItem>
      <ddeItem name="PAGE.2.67.1" advise="1">
        <values>
          <value t="str">
            <val>15/12</val>
          </value>
        </values>
      </ddeItem>
      <ddeItem name="PAGE.2.67.10" advise="1">
        <values>
          <value t="str">
            <val/>
          </value>
        </values>
      </ddeItem>
      <ddeItem name="PAGE.2.67.11" advise="1">
        <values>
          <value t="str">
            <val>TRDZKVK32633_KESN_T0</val>
          </value>
        </values>
      </ddeItem>
      <ddeItem name="PAGE.2.67.2" advise="1">
        <values>
          <value t="str">
            <val>TRDZKVK32633</val>
          </value>
        </values>
      </ddeItem>
      <ddeItem name="PAGE.2.67.3" advise="1">
        <values>
          <value t="str">
            <val/>
          </value>
        </values>
      </ddeItem>
      <ddeItem name="PAGE.2.67.4" advise="1">
        <values>
          <value t="str">
            <val/>
          </value>
        </values>
      </ddeItem>
      <ddeItem name="PAGE.2.67.5" advise="1">
        <values>
          <value t="str">
            <val/>
          </value>
        </values>
      </ddeItem>
      <ddeItem name="PAGE.2.67.6" advise="1">
        <values>
          <value t="str">
            <val/>
          </value>
        </values>
      </ddeItem>
      <ddeItem name="PAGE.2.67.7" advise="1">
        <values>
          <value t="str">
            <val>10:11:16</val>
          </value>
        </values>
      </ddeItem>
      <ddeItem name="PAGE.2.67.8" advise="1">
        <values>
          <value t="str">
            <val/>
          </value>
        </values>
      </ddeItem>
      <ddeItem name="PAGE.2.67.9" advise="1">
        <values>
          <value>
            <val>0.51369845400000003</val>
          </value>
        </values>
      </ddeItem>
      <ddeItem name="PAGE.2.68.1" advise="1">
        <values>
          <value t="str">
            <val>15/12</val>
          </value>
        </values>
      </ddeItem>
      <ddeItem name="PAGE.2.68.10" advise="1">
        <values>
          <value t="str">
            <val/>
          </value>
        </values>
      </ddeItem>
      <ddeItem name="PAGE.2.68.11" advise="1">
        <values>
          <value t="str">
            <val>TRFKRYGA2521_KESN_T0</val>
          </value>
        </values>
      </ddeItem>
      <ddeItem name="PAGE.2.68.2" advise="1">
        <values>
          <value t="str">
            <val>TRFKRYGA2521</val>
          </value>
        </values>
      </ddeItem>
      <ddeItem name="PAGE.2.68.3" advise="1">
        <values>
          <value t="str">
            <val/>
          </value>
        </values>
      </ddeItem>
      <ddeItem name="PAGE.2.68.4" advise="1">
        <values>
          <value t="str">
            <val/>
          </value>
        </values>
      </ddeItem>
      <ddeItem name="PAGE.2.68.5" advise="1">
        <values>
          <value t="str">
            <val/>
          </value>
        </values>
      </ddeItem>
      <ddeItem name="PAGE.2.68.6" advise="1">
        <values>
          <value t="str">
            <val/>
          </value>
        </values>
      </ddeItem>
      <ddeItem name="PAGE.2.68.7" advise="1">
        <values>
          <value t="str">
            <val>10:14:01</val>
          </value>
        </values>
      </ddeItem>
      <ddeItem name="PAGE.2.68.8" advise="1">
        <values>
          <value t="str">
            <val/>
          </value>
        </values>
      </ddeItem>
      <ddeItem name="PAGE.2.68.9" advise="1">
        <values>
          <value>
            <val>10.783585714000001</val>
          </value>
        </values>
      </ddeItem>
      <ddeItem name="PAGE.2.69.1" advise="1">
        <values>
          <value t="str">
            <val>15/12</val>
          </value>
        </values>
      </ddeItem>
      <ddeItem name="PAGE.2.69.10" advise="1">
        <values>
          <value t="str">
            <val/>
          </value>
        </values>
      </ddeItem>
      <ddeItem name="PAGE.2.69.11" advise="1">
        <values>
          <value t="str">
            <val>TRFDRDLA2510_KESN_T0</val>
          </value>
        </values>
      </ddeItem>
      <ddeItem name="PAGE.2.69.2" advise="1">
        <values>
          <value t="str">
            <val>TRFDRDLA2510</val>
          </value>
        </values>
      </ddeItem>
      <ddeItem name="PAGE.2.69.3" advise="1">
        <values>
          <value t="str">
            <val/>
          </value>
        </values>
      </ddeItem>
      <ddeItem name="PAGE.2.69.4" advise="1">
        <values>
          <value t="str">
            <val/>
          </value>
        </values>
      </ddeItem>
      <ddeItem name="PAGE.2.69.5" advise="1">
        <values>
          <value t="str">
            <val/>
          </value>
        </values>
      </ddeItem>
      <ddeItem name="PAGE.2.69.6" advise="1">
        <values>
          <value t="str">
            <val/>
          </value>
        </values>
      </ddeItem>
      <ddeItem name="PAGE.2.69.7" advise="1">
        <values>
          <value t="str">
            <val>10:25:26</val>
          </value>
        </values>
      </ddeItem>
      <ddeItem name="PAGE.2.69.8" advise="1">
        <values>
          <value t="str">
            <val/>
          </value>
        </values>
      </ddeItem>
      <ddeItem name="PAGE.2.69.9" advise="1">
        <values>
          <value>
            <val>7.6932266670000002</val>
          </value>
        </values>
      </ddeItem>
      <ddeItem name="PAGE.2.70.1" advise="1">
        <values>
          <value t="str">
            <val>15/12</val>
          </value>
        </values>
      </ddeItem>
      <ddeItem name="PAGE.2.70.10" advise="1">
        <values>
          <value t="str">
            <val/>
          </value>
        </values>
      </ddeItem>
      <ddeItem name="PAGE.2.70.11" advise="1">
        <values>
          <value t="str">
            <val>TRFGZNMA2514_KESN_T0</val>
          </value>
        </values>
      </ddeItem>
      <ddeItem name="PAGE.2.70.2" advise="1">
        <values>
          <value t="str">
            <val>TRFGZNMA2514</val>
          </value>
        </values>
      </ddeItem>
      <ddeItem name="PAGE.2.70.3" advise="1">
        <values>
          <value t="str">
            <val/>
          </value>
        </values>
      </ddeItem>
      <ddeItem name="PAGE.2.70.4" advise="1">
        <values>
          <value t="str">
            <val/>
          </value>
        </values>
      </ddeItem>
      <ddeItem name="PAGE.2.70.5" advise="1">
        <values>
          <value t="str">
            <val/>
          </value>
        </values>
      </ddeItem>
      <ddeItem name="PAGE.2.70.6" advise="1">
        <values>
          <value t="str">
            <val/>
          </value>
        </values>
      </ddeItem>
      <ddeItem name="PAGE.2.70.7" advise="1">
        <values>
          <value t="str">
            <val>10:26:01</val>
          </value>
        </values>
      </ddeItem>
      <ddeItem name="PAGE.2.70.8" advise="1">
        <values>
          <value t="str">
            <val/>
          </value>
        </values>
      </ddeItem>
      <ddeItem name="PAGE.2.70.9" advise="1">
        <values>
          <value t="str">
            <val/>
          </value>
        </values>
      </ddeItem>
      <ddeItem name="PAGE.2.71.1" advise="1">
        <values>
          <value t="str">
            <val>15/12</val>
          </value>
        </values>
      </ddeItem>
      <ddeItem name="PAGE.2.71.10" advise="1">
        <values>
          <value t="str">
            <val/>
          </value>
        </values>
      </ddeItem>
      <ddeItem name="PAGE.2.71.11" advise="1">
        <values>
          <value t="str">
            <val>TRD111126T10_KESN_T0</val>
          </value>
        </values>
      </ddeItem>
      <ddeItem name="PAGE.2.71.2" advise="1">
        <values>
          <value t="str">
            <val>TRD111126T10</val>
          </value>
        </values>
      </ddeItem>
      <ddeItem name="PAGE.2.71.3" advise="1">
        <values>
          <value t="str">
            <val/>
          </value>
        </values>
      </ddeItem>
      <ddeItem name="PAGE.2.71.4" advise="1">
        <values>
          <value t="str">
            <val/>
          </value>
        </values>
      </ddeItem>
      <ddeItem name="PAGE.2.71.5" advise="1">
        <values>
          <value t="str">
            <val/>
          </value>
        </values>
      </ddeItem>
      <ddeItem name="PAGE.2.71.6" advise="1">
        <values>
          <value t="str">
            <val/>
          </value>
        </values>
      </ddeItem>
      <ddeItem name="PAGE.2.71.7" advise="1">
        <values>
          <value t="str">
            <val>10:16:20</val>
          </value>
        </values>
      </ddeItem>
      <ddeItem name="PAGE.2.71.8" advise="1">
        <values>
          <value t="str">
            <val/>
          </value>
        </values>
      </ddeItem>
      <ddeItem name="PAGE.2.71.9" advise="1">
        <values>
          <value>
            <val>3.354395604</val>
          </value>
        </values>
      </ddeItem>
      <ddeItem name="PAGE.2.72.1" advise="1">
        <values>
          <value t="str">
            <val>15/12</val>
          </value>
        </values>
      </ddeItem>
      <ddeItem name="PAGE.2.72.10" advise="1">
        <values>
          <value t="str">
            <val/>
          </value>
        </values>
      </ddeItem>
      <ddeItem name="PAGE.2.72.11" advise="1">
        <values>
          <value t="str">
            <val>TRFAKDN12619_KESN_T0</val>
          </value>
        </values>
      </ddeItem>
      <ddeItem name="PAGE.2.72.2" advise="1">
        <values>
          <value t="str">
            <val>TRFAKDN12619</val>
          </value>
        </values>
      </ddeItem>
      <ddeItem name="PAGE.2.72.3" advise="1">
        <values>
          <value t="str">
            <val/>
          </value>
        </values>
      </ddeItem>
      <ddeItem name="PAGE.2.72.4" advise="1">
        <values>
          <value t="str">
            <val/>
          </value>
        </values>
      </ddeItem>
      <ddeItem name="PAGE.2.72.5" advise="1">
        <values>
          <value t="str">
            <val/>
          </value>
        </values>
      </ddeItem>
      <ddeItem name="PAGE.2.72.6" advise="1">
        <values>
          <value t="str">
            <val/>
          </value>
        </values>
      </ddeItem>
      <ddeItem name="PAGE.2.72.7" advise="1">
        <values>
          <value t="str">
            <val>10:16:32</val>
          </value>
        </values>
      </ddeItem>
      <ddeItem name="PAGE.2.72.8" advise="1">
        <values>
          <value t="str">
            <val/>
          </value>
        </values>
      </ddeItem>
      <ddeItem name="PAGE.2.72.9" advise="1">
        <values>
          <value t="str">
            <val/>
          </value>
        </values>
      </ddeItem>
      <ddeItem name="PAGE.2.73.1" advise="1">
        <values>
          <value t="str">
            <val>15/12</val>
          </value>
        </values>
      </ddeItem>
      <ddeItem name="PAGE.2.73.10" advise="1">
        <values>
          <value t="str">
            <val/>
          </value>
        </values>
      </ddeItem>
      <ddeItem name="PAGE.2.73.11" advise="1">
        <values>
          <value t="str">
            <val>TRT160627T13_KESN_T0</val>
          </value>
        </values>
      </ddeItem>
      <ddeItem name="PAGE.2.73.2" advise="1">
        <values>
          <value t="str">
            <val>TRT160627T13</val>
          </value>
        </values>
      </ddeItem>
      <ddeItem name="PAGE.2.73.3" advise="1">
        <values>
          <value t="str">
            <val/>
          </value>
        </values>
      </ddeItem>
      <ddeItem name="PAGE.2.73.4" advise="1">
        <values>
          <value t="str">
            <val/>
          </value>
        </values>
      </ddeItem>
      <ddeItem name="PAGE.2.73.5" advise="1">
        <values>
          <value t="str">
            <val/>
          </value>
        </values>
      </ddeItem>
      <ddeItem name="PAGE.2.73.6" advise="1">
        <values>
          <value t="str">
            <val/>
          </value>
        </values>
      </ddeItem>
      <ddeItem name="PAGE.2.73.7" advise="1">
        <values>
          <value t="str">
            <val>11:29:15</val>
          </value>
        </values>
      </ddeItem>
      <ddeItem name="PAGE.2.73.8" advise="1">
        <values>
          <value t="str">
            <val/>
          </value>
        </values>
      </ddeItem>
      <ddeItem name="PAGE.2.73.9" advise="1">
        <values>
          <value>
            <val>10.15105404</val>
          </value>
        </values>
      </ddeItem>
      <ddeItem name="PAGE.2.74.1" advise="1">
        <values>
          <value t="str">
            <val>15/12</val>
          </value>
        </values>
      </ddeItem>
      <ddeItem name="PAGE.2.74.10" advise="1">
        <values>
          <value t="str">
            <val/>
          </value>
        </values>
      </ddeItem>
      <ddeItem name="PAGE.2.74.11" advise="1">
        <values>
          <value t="str">
            <val>TRFQYBN12610_KESN_T0</val>
          </value>
        </values>
      </ddeItem>
      <ddeItem name="PAGE.2.74.2" advise="1">
        <values>
          <value t="str">
            <val>TRFQYBN12610</val>
          </value>
        </values>
      </ddeItem>
      <ddeItem name="PAGE.2.74.3" advise="1">
        <values>
          <value t="str">
            <val/>
          </value>
        </values>
      </ddeItem>
      <ddeItem name="PAGE.2.74.4" advise="1">
        <values>
          <value t="str">
            <val/>
          </value>
        </values>
      </ddeItem>
      <ddeItem name="PAGE.2.74.5" advise="1">
        <values>
          <value t="str">
            <val/>
          </value>
        </values>
      </ddeItem>
      <ddeItem name="PAGE.2.74.6" advise="1">
        <values>
          <value t="str">
            <val/>
          </value>
        </values>
      </ddeItem>
      <ddeItem name="PAGE.2.74.7" advise="1">
        <values>
          <value t="str">
            <val>10:26:26</val>
          </value>
        </values>
      </ddeItem>
      <ddeItem name="PAGE.2.74.8" advise="1">
        <values>
          <value t="str">
            <val/>
          </value>
        </values>
      </ddeItem>
      <ddeItem name="PAGE.2.74.9" advise="1">
        <values>
          <value>
            <val>21.566881720000001</val>
          </value>
        </values>
      </ddeItem>
      <ddeItem name="PAGE.2.75.1" advise="1">
        <values>
          <value t="str">
            <val>15/12</val>
          </value>
        </values>
      </ddeItem>
      <ddeItem name="PAGE.2.75.10" advise="1">
        <values>
          <value t="str">
            <val/>
          </value>
        </values>
      </ddeItem>
      <ddeItem name="PAGE.2.75.11" advise="1">
        <values>
          <value t="str">
            <val>TRFTRLC22619_KESN_T0</val>
          </value>
        </values>
      </ddeItem>
      <ddeItem name="PAGE.2.75.2" advise="1">
        <values>
          <value t="str">
            <val>TRFTRLC22619</val>
          </value>
        </values>
      </ddeItem>
      <ddeItem name="PAGE.2.75.3" advise="1">
        <values>
          <value t="str">
            <val/>
          </value>
        </values>
      </ddeItem>
      <ddeItem name="PAGE.2.75.4" advise="1">
        <values>
          <value t="str">
            <val/>
          </value>
        </values>
      </ddeItem>
      <ddeItem name="PAGE.2.75.5" advise="1">
        <values>
          <value t="str">
            <val/>
          </value>
        </values>
      </ddeItem>
      <ddeItem name="PAGE.2.75.6" advise="1">
        <values>
          <value t="str">
            <val/>
          </value>
        </values>
      </ddeItem>
      <ddeItem name="PAGE.2.75.7" advise="1">
        <values>
          <value t="str">
            <val>10:28:59</val>
          </value>
        </values>
      </ddeItem>
      <ddeItem name="PAGE.2.75.8" advise="1">
        <values>
          <value t="str">
            <val/>
          </value>
        </values>
      </ddeItem>
      <ddeItem name="PAGE.2.75.9" advise="1">
        <values>
          <value>
            <val>18.947939999999999</val>
          </value>
        </values>
      </ddeItem>
      <ddeItem name="PAGE.2.76.1" advise="1">
        <values>
          <value t="str">
            <val>15/12</val>
          </value>
        </values>
      </ddeItem>
      <ddeItem name="PAGE.2.76.10" advise="1">
        <values>
          <value t="str">
            <val/>
          </value>
        </values>
      </ddeItem>
      <ddeItem name="PAGE.2.76.11" advise="1">
        <values>
          <value t="str">
            <val>TRFARSV22614_KESN_T0</val>
          </value>
        </values>
      </ddeItem>
      <ddeItem name="PAGE.2.76.2" advise="1">
        <values>
          <value t="str">
            <val>TRFARSV22614</val>
          </value>
        </values>
      </ddeItem>
      <ddeItem name="PAGE.2.76.3" advise="1">
        <values>
          <value t="str">
            <val/>
          </value>
        </values>
      </ddeItem>
      <ddeItem name="PAGE.2.76.4" advise="1">
        <values>
          <value t="str">
            <val/>
          </value>
        </values>
      </ddeItem>
      <ddeItem name="PAGE.2.76.5" advise="1">
        <values>
          <value t="str">
            <val/>
          </value>
        </values>
      </ddeItem>
      <ddeItem name="PAGE.2.76.6" advise="1">
        <values>
          <value t="str">
            <val/>
          </value>
        </values>
      </ddeItem>
      <ddeItem name="PAGE.2.76.7" advise="1">
        <values>
          <value t="str">
            <val>10:29:23</val>
          </value>
        </values>
      </ddeItem>
      <ddeItem name="PAGE.2.76.8" advise="1">
        <values>
          <value t="str">
            <val/>
          </value>
        </values>
      </ddeItem>
      <ddeItem name="PAGE.2.76.9" advise="1">
        <values>
          <value t="str">
            <val/>
          </value>
        </values>
      </ddeItem>
      <ddeItem name="PAGE.2.78.1" advise="1">
        <values>
          <value t="str">
            <val>15/12</val>
          </value>
        </values>
      </ddeItem>
      <ddeItem name="PAGE.2.78.10" advise="1">
        <values>
          <value t="str">
            <val/>
          </value>
        </values>
      </ddeItem>
      <ddeItem name="PAGE.2.78.11" advise="1">
        <values>
          <value t="str">
            <val>TRT031029T10_KESN_T0</val>
          </value>
        </values>
      </ddeItem>
      <ddeItem name="PAGE.2.78.2" advise="1">
        <values>
          <value t="str">
            <val>TRT031029T10</val>
          </value>
        </values>
      </ddeItem>
      <ddeItem name="PAGE.2.78.3" advise="1">
        <values>
          <value t="str">
            <val/>
          </value>
        </values>
      </ddeItem>
      <ddeItem name="PAGE.2.78.4" advise="1">
        <values>
          <value t="str">
            <val/>
          </value>
        </values>
      </ddeItem>
      <ddeItem name="PAGE.2.78.5" advise="1">
        <values>
          <value t="str">
            <val/>
          </value>
        </values>
      </ddeItem>
      <ddeItem name="PAGE.2.78.6" advise="1">
        <values>
          <value t="str">
            <val/>
          </value>
        </values>
      </ddeItem>
      <ddeItem name="PAGE.2.78.7" advise="1">
        <values>
          <value t="str">
            <val>12:29:56</val>
          </value>
        </values>
      </ddeItem>
      <ddeItem name="PAGE.2.78.8" advise="1">
        <values>
          <value t="str">
            <val/>
          </value>
        </values>
      </ddeItem>
      <ddeItem name="PAGE.2.78.9" advise="1">
        <values>
          <value>
            <val>6.9905494509999997</val>
          </value>
        </values>
      </ddeItem>
      <ddeItem name="PAGE.2.79.1" advise="1">
        <values>
          <value t="str">
            <val>15/12</val>
          </value>
        </values>
      </ddeItem>
      <ddeItem name="PAGE.2.79.10" advise="1">
        <values>
          <value t="str">
            <val/>
          </value>
        </values>
      </ddeItem>
      <ddeItem name="PAGE.2.79.11" advise="1">
        <values>
          <value t="str">
            <val>TRFQFNS22612_KESN_T0</val>
          </value>
        </values>
      </ddeItem>
      <ddeItem name="PAGE.2.79.2" advise="1">
        <values>
          <value t="str">
            <val>TRFQFNS22612</val>
          </value>
        </values>
      </ddeItem>
      <ddeItem name="PAGE.2.79.3" advise="1">
        <values>
          <value t="str">
            <val/>
          </value>
        </values>
      </ddeItem>
      <ddeItem name="PAGE.2.79.4" advise="1">
        <values>
          <value t="str">
            <val/>
          </value>
        </values>
      </ddeItem>
      <ddeItem name="PAGE.2.79.5" advise="1">
        <values>
          <value t="str">
            <val/>
          </value>
        </values>
      </ddeItem>
      <ddeItem name="PAGE.2.79.6" advise="1">
        <values>
          <value t="str">
            <val/>
          </value>
        </values>
      </ddeItem>
      <ddeItem name="PAGE.2.79.7" advise="1">
        <values>
          <value t="str">
            <val>10:23:32</val>
          </value>
        </values>
      </ddeItem>
      <ddeItem name="PAGE.2.79.8" advise="1">
        <values>
          <value t="str">
            <val/>
          </value>
        </values>
      </ddeItem>
      <ddeItem name="PAGE.2.79.9" advise="1">
        <values>
          <value t="str">
            <val/>
          </value>
        </values>
      </ddeItem>
      <ddeItem name="PAGE.2.8.1" advise="1">
        <values>
          <value t="str">
            <val>15/12</val>
          </value>
        </values>
      </ddeItem>
      <ddeItem name="PAGE.2.8.10" advise="1">
        <values>
          <value>
            <val>74.477000000000004</val>
          </value>
        </values>
      </ddeItem>
      <ddeItem name="PAGE.2.8.11" advise="1">
        <values>
          <value t="str">
            <val>TRT110827T16_KESN_T0</val>
          </value>
        </values>
      </ddeItem>
      <ddeItem name="PAGE.2.8.2" advise="1">
        <values>
          <value t="str">
            <val>TRT110827T16</val>
          </value>
        </values>
      </ddeItem>
      <ddeItem name="PAGE.2.8.3" advise="1">
        <values>
          <value>
            <val>70.900000000000006</val>
          </value>
        </values>
      </ddeItem>
      <ddeItem name="PAGE.2.8.4" advise="1">
        <values>
          <value>
            <val>35</val>
          </value>
        </values>
      </ddeItem>
      <ddeItem name="PAGE.2.8.5" advise="1">
        <values>
          <value>
            <val>38.06</val>
          </value>
        </values>
      </ddeItem>
      <ddeItem name="PAGE.2.8.6" advise="1">
        <values>
          <value>
            <val>1000000</val>
          </value>
        </values>
      </ddeItem>
      <ddeItem name="PAGE.2.8.7" advise="1">
        <values>
          <value t="str">
            <val>13:53:44</val>
          </value>
        </values>
      </ddeItem>
      <ddeItem name="PAGE.2.8.8" advise="1">
        <values>
          <value>
            <val>744769.23</val>
          </value>
        </values>
      </ddeItem>
      <ddeItem name="PAGE.2.8.9" advise="1">
        <values>
          <value>
            <val>3.576923077</val>
          </value>
        </values>
      </ddeItem>
      <ddeItem name="PAGE.2.80.1" advise="1">
        <values>
          <value t="str">
            <val>15/12</val>
          </value>
        </values>
      </ddeItem>
      <ddeItem name="PAGE.2.80.10" advise="1">
        <values>
          <value t="str">
            <val/>
          </value>
        </values>
      </ddeItem>
      <ddeItem name="PAGE.2.80.11" advise="1">
        <values>
          <value t="str">
            <val>TRFDGRV32612_KESN_T0</val>
          </value>
        </values>
      </ddeItem>
      <ddeItem name="PAGE.2.80.2" advise="1">
        <values>
          <value t="str">
            <val>TRFDGRV32612</val>
          </value>
        </values>
      </ddeItem>
      <ddeItem name="PAGE.2.80.3" advise="1">
        <values>
          <value t="str">
            <val/>
          </value>
        </values>
      </ddeItem>
      <ddeItem name="PAGE.2.80.4" advise="1">
        <values>
          <value t="str">
            <val/>
          </value>
        </values>
      </ddeItem>
      <ddeItem name="PAGE.2.80.5" advise="1">
        <values>
          <value t="str">
            <val/>
          </value>
        </values>
      </ddeItem>
      <ddeItem name="PAGE.2.80.6" advise="1">
        <values>
          <value t="str">
            <val/>
          </value>
        </values>
      </ddeItem>
      <ddeItem name="PAGE.2.80.7" advise="1">
        <values>
          <value t="str">
            <val>10:30:26</val>
          </value>
        </values>
      </ddeItem>
      <ddeItem name="PAGE.2.80.8" advise="1">
        <values>
          <value t="str">
            <val/>
          </value>
        </values>
      </ddeItem>
      <ddeItem name="PAGE.2.80.9" advise="1">
        <values>
          <value t="str">
            <val/>
          </value>
        </values>
      </ddeItem>
      <ddeItem name="PAGE.2.82.1" advise="1">
        <values>
          <value t="str">
            <val>15/12</val>
          </value>
        </values>
      </ddeItem>
      <ddeItem name="PAGE.2.82.10" advise="1">
        <values>
          <value t="str">
            <val/>
          </value>
        </values>
      </ddeItem>
      <ddeItem name="PAGE.2.82.11" advise="1">
        <values>
          <value t="str">
            <val>TRFAKDN42616_KESN_T0</val>
          </value>
        </values>
      </ddeItem>
      <ddeItem name="PAGE.2.82.2" advise="1">
        <values>
          <value t="str">
            <val>TRFAKDN42616</val>
          </value>
        </values>
      </ddeItem>
      <ddeItem name="PAGE.2.82.3" advise="1">
        <values>
          <value t="str">
            <val/>
          </value>
        </values>
      </ddeItem>
      <ddeItem name="PAGE.2.82.4" advise="1">
        <values>
          <value t="str">
            <val/>
          </value>
        </values>
      </ddeItem>
      <ddeItem name="PAGE.2.82.5" advise="1">
        <values>
          <value t="str">
            <val/>
          </value>
        </values>
      </ddeItem>
      <ddeItem name="PAGE.2.82.6" advise="1">
        <values>
          <value t="str">
            <val/>
          </value>
        </values>
      </ddeItem>
      <ddeItem name="PAGE.2.82.7" advise="1">
        <values>
          <value t="str">
            <val>10:31:16</val>
          </value>
        </values>
      </ddeItem>
      <ddeItem name="PAGE.2.82.8" advise="1">
        <values>
          <value t="str">
            <val/>
          </value>
        </values>
      </ddeItem>
      <ddeItem name="PAGE.2.82.9" advise="1">
        <values>
          <value t="str">
            <val/>
          </value>
        </values>
      </ddeItem>
      <ddeItem name="PAGE.2.83.1" advise="1">
        <values>
          <value t="str">
            <val>15/12</val>
          </value>
        </values>
      </ddeItem>
      <ddeItem name="PAGE.2.83.10" advise="1">
        <values>
          <value t="str">
            <val/>
          </value>
        </values>
      </ddeItem>
      <ddeItem name="PAGE.2.83.11" advise="1">
        <values>
          <value t="str">
            <val>TRDZKBV22633_KESN_T0</val>
          </value>
        </values>
      </ddeItem>
      <ddeItem name="PAGE.2.83.2" advise="1">
        <values>
          <value t="str">
            <val>TRDZKBV22633</val>
          </value>
        </values>
      </ddeItem>
      <ddeItem name="PAGE.2.83.3" advise="1">
        <values>
          <value t="str">
            <val/>
          </value>
        </values>
      </ddeItem>
      <ddeItem name="PAGE.2.83.4" advise="1">
        <values>
          <value t="str">
            <val/>
          </value>
        </values>
      </ddeItem>
      <ddeItem name="PAGE.2.83.5" advise="1">
        <values>
          <value t="str">
            <val/>
          </value>
        </values>
      </ddeItem>
      <ddeItem name="PAGE.2.83.6" advise="1">
        <values>
          <value t="str">
            <val/>
          </value>
        </values>
      </ddeItem>
      <ddeItem name="PAGE.2.83.7" advise="1">
        <values>
          <value t="str">
            <val>10:24:59</val>
          </value>
        </values>
      </ddeItem>
      <ddeItem name="PAGE.2.83.8" advise="1">
        <values>
          <value t="str">
            <val/>
          </value>
        </values>
      </ddeItem>
      <ddeItem name="PAGE.2.83.9" advise="1">
        <values>
          <value>
            <val>6.2904119630000004</val>
          </value>
        </values>
      </ddeItem>
      <ddeItem name="PAGE.2.84.1" advise="1">
        <values>
          <value t="str">
            <val>15/12</val>
          </value>
        </values>
      </ddeItem>
      <ddeItem name="PAGE.2.84.10" advise="1">
        <values>
          <value>
            <val>96.638000000000005</val>
          </value>
        </values>
      </ddeItem>
      <ddeItem name="PAGE.2.84.11" advise="1">
        <values>
          <value t="str">
            <val>TRT051033T12_KESN_T0</val>
          </value>
        </values>
      </ddeItem>
      <ddeItem name="PAGE.2.84.2" advise="1">
        <values>
          <value t="str">
            <val>TRT051033T12</val>
          </value>
        </values>
      </ddeItem>
      <ddeItem name="PAGE.2.84.3" advise="1">
        <values>
          <value>
            <val>92.247</val>
          </value>
        </values>
      </ddeItem>
      <ddeItem name="PAGE.2.84.4" advise="1">
        <values>
          <value>
            <val>28.67</val>
          </value>
        </values>
      </ddeItem>
      <ddeItem name="PAGE.2.84.5" advise="1">
        <values>
          <value>
            <val>30.72</val>
          </value>
        </values>
      </ddeItem>
      <ddeItem name="PAGE.2.84.6" advise="1">
        <values>
          <value>
            <val>175000000</val>
          </value>
        </values>
      </ddeItem>
      <ddeItem name="PAGE.2.84.7" advise="1">
        <values>
          <value t="str">
            <val>13:08:37</val>
          </value>
        </values>
      </ddeItem>
      <ddeItem name="PAGE.2.84.8" advise="1">
        <values>
          <value>
            <val>169116153.83000001</val>
          </value>
        </values>
      </ddeItem>
      <ddeItem name="PAGE.2.84.9" advise="1">
        <values>
          <value>
            <val>4.3906593410000001</val>
          </value>
        </values>
      </ddeItem>
      <ddeItem name="PAGE.2.85.1" advise="1">
        <values>
          <value t="str">
            <val>15/12</val>
          </value>
        </values>
      </ddeItem>
      <ddeItem name="PAGE.2.85.10" advise="1">
        <values>
          <value>
            <val>101.675</val>
          </value>
        </values>
      </ddeItem>
      <ddeItem name="PAGE.2.85.11" advise="1">
        <values>
          <value t="str">
            <val>TRT270934T18_KESN_T0</val>
          </value>
        </values>
      </ddeItem>
      <ddeItem name="PAGE.2.85.2" advise="1">
        <values>
          <value t="str">
            <val>TRT270934T18</val>
          </value>
        </values>
      </ddeItem>
      <ddeItem name="PAGE.2.85.3" advise="1">
        <values>
          <value>
            <val>96.5</val>
          </value>
        </values>
      </ddeItem>
      <ddeItem name="PAGE.2.85.4" advise="1">
        <values>
          <value>
            <val>28.74</val>
          </value>
        </values>
      </ddeItem>
      <ddeItem name="PAGE.2.85.5" advise="1">
        <values>
          <value>
            <val>30.8</val>
          </value>
        </values>
      </ddeItem>
      <ddeItem name="PAGE.2.85.6" advise="1">
        <values>
          <value>
            <val>4000000</val>
          </value>
        </values>
      </ddeItem>
      <ddeItem name="PAGE.2.85.7" advise="1">
        <values>
          <value t="str">
            <val>12:29:39</val>
          </value>
        </values>
      </ddeItem>
      <ddeItem name="PAGE.2.85.8" advise="1">
        <values>
          <value>
            <val>4066989.01</val>
          </value>
        </values>
      </ddeItem>
      <ddeItem name="PAGE.2.85.9" advise="1">
        <values>
          <value>
            <val>5.1747252750000001</val>
          </value>
        </values>
      </ddeItem>
      <ddeItem name="PAGE.2.86.1" advise="1">
        <values>
          <value t="str">
            <val>15/12</val>
          </value>
        </values>
      </ddeItem>
      <ddeItem name="PAGE.2.86.10" advise="1">
        <values>
          <value t="str">
            <val/>
          </value>
        </values>
      </ddeItem>
      <ddeItem name="PAGE.2.86.11" advise="1">
        <values>
          <value t="str">
            <val>TRFBORL12639_KESN_T0</val>
          </value>
        </values>
      </ddeItem>
      <ddeItem name="PAGE.2.86.2" advise="1">
        <values>
          <value t="str">
            <val>TRFBORL12639</val>
          </value>
        </values>
      </ddeItem>
      <ddeItem name="PAGE.2.86.3" advise="1">
        <values>
          <value t="str">
            <val/>
          </value>
        </values>
      </ddeItem>
      <ddeItem name="PAGE.2.86.4" advise="1">
        <values>
          <value t="str">
            <val/>
          </value>
        </values>
      </ddeItem>
      <ddeItem name="PAGE.2.86.5" advise="1">
        <values>
          <value t="str">
            <val/>
          </value>
        </values>
      </ddeItem>
      <ddeItem name="PAGE.2.86.6" advise="1">
        <values>
          <value t="str">
            <val/>
          </value>
        </values>
      </ddeItem>
      <ddeItem name="PAGE.2.86.7" advise="1">
        <values>
          <value t="str">
            <val>10:28:35</val>
          </value>
        </values>
      </ddeItem>
      <ddeItem name="PAGE.2.86.8" advise="1">
        <values>
          <value t="str">
            <val/>
          </value>
        </values>
      </ddeItem>
      <ddeItem name="PAGE.2.86.9" advise="1">
        <values>
          <value>
            <val>19.514888889000002</val>
          </value>
        </values>
      </ddeItem>
      <ddeItem name="PAGE.2.87.1" advise="1">
        <values>
          <value t="str">
            <val>15/12</val>
          </value>
        </values>
      </ddeItem>
      <ddeItem name="PAGE.2.87.10" advise="1">
        <values>
          <value t="str">
            <val/>
          </value>
        </values>
      </ddeItem>
      <ddeItem name="PAGE.2.87.11" advise="1">
        <values>
          <value t="str">
            <val>TRFDRDL22611_KESN_T0</val>
          </value>
        </values>
      </ddeItem>
      <ddeItem name="PAGE.2.87.2" advise="1">
        <values>
          <value t="str">
            <val>TRFDRDL22611</val>
          </value>
        </values>
      </ddeItem>
      <ddeItem name="PAGE.2.87.3" advise="1">
        <values>
          <value t="str">
            <val/>
          </value>
        </values>
      </ddeItem>
      <ddeItem name="PAGE.2.87.4" advise="1">
        <values>
          <value t="str">
            <val/>
          </value>
        </values>
      </ddeItem>
      <ddeItem name="PAGE.2.87.5" advise="1">
        <values>
          <value t="str">
            <val/>
          </value>
        </values>
      </ddeItem>
      <ddeItem name="PAGE.2.87.6" advise="1">
        <values>
          <value t="str">
            <val/>
          </value>
        </values>
      </ddeItem>
      <ddeItem name="PAGE.2.87.7" advise="1">
        <values>
          <value t="str">
            <val>10:29:55</val>
          </value>
        </values>
      </ddeItem>
      <ddeItem name="PAGE.2.87.8" advise="1">
        <values>
          <value t="str">
            <val/>
          </value>
        </values>
      </ddeItem>
      <ddeItem name="PAGE.2.87.9" advise="1">
        <values>
          <value>
            <val>3.8465756999999998</val>
          </value>
        </values>
      </ddeItem>
      <ddeItem name="PAGE.2.88.1" advise="1">
        <values>
          <value t="str">
            <val>15/12</val>
          </value>
        </values>
      </ddeItem>
      <ddeItem name="PAGE.2.88.10" advise="1">
        <values>
          <value t="str">
            <val/>
          </value>
        </values>
      </ddeItem>
      <ddeItem name="PAGE.2.88.11" advise="1">
        <values>
          <value t="str">
            <val>TRFQFNS32611_KESN_T0</val>
          </value>
        </values>
      </ddeItem>
      <ddeItem name="PAGE.2.88.2" advise="1">
        <values>
          <value t="str">
            <val>TRFQFNS32611</val>
          </value>
        </values>
      </ddeItem>
      <ddeItem name="PAGE.2.88.3" advise="1">
        <values>
          <value t="str">
            <val/>
          </value>
        </values>
      </ddeItem>
      <ddeItem name="PAGE.2.88.4" advise="1">
        <values>
          <value t="str">
            <val/>
          </value>
        </values>
      </ddeItem>
      <ddeItem name="PAGE.2.88.5" advise="1">
        <values>
          <value t="str">
            <val/>
          </value>
        </values>
      </ddeItem>
      <ddeItem name="PAGE.2.88.6" advise="1">
        <values>
          <value t="str">
            <val/>
          </value>
        </values>
      </ddeItem>
      <ddeItem name="PAGE.2.88.7" advise="1">
        <values>
          <value t="str">
            <val>10:30:53</val>
          </value>
        </values>
      </ddeItem>
      <ddeItem name="PAGE.2.88.8" advise="1">
        <values>
          <value t="str">
            <val/>
          </value>
        </values>
      </ddeItem>
      <ddeItem name="PAGE.2.88.9" advise="1">
        <values>
          <value t="str">
            <val/>
          </value>
        </values>
      </ddeItem>
      <ddeItem name="PAGE.2.89.1" advise="1">
        <values>
          <value t="str">
            <val>15/12</val>
          </value>
        </values>
      </ddeItem>
      <ddeItem name="PAGE.2.89.10" advise="1">
        <values>
          <value t="str">
            <val/>
          </value>
        </values>
      </ddeItem>
      <ddeItem name="PAGE.2.89.11" advise="1">
        <values>
          <value t="str">
            <val>TRFQFNS52619_KESN_T0</val>
          </value>
        </values>
      </ddeItem>
      <ddeItem name="PAGE.2.89.2" advise="1">
        <values>
          <value t="str">
            <val>TRFQFNS52619</val>
          </value>
        </values>
      </ddeItem>
      <ddeItem name="PAGE.2.89.3" advise="1">
        <values>
          <value t="str">
            <val/>
          </value>
        </values>
      </ddeItem>
      <ddeItem name="PAGE.2.89.4" advise="1">
        <values>
          <value t="str">
            <val/>
          </value>
        </values>
      </ddeItem>
      <ddeItem name="PAGE.2.89.5" advise="1">
        <values>
          <value t="str">
            <val/>
          </value>
        </values>
      </ddeItem>
      <ddeItem name="PAGE.2.89.6" advise="1">
        <values>
          <value t="str">
            <val/>
          </value>
        </values>
      </ddeItem>
      <ddeItem name="PAGE.2.89.7" advise="1">
        <values>
          <value t="str">
            <val>10:31:41</val>
          </value>
        </values>
      </ddeItem>
      <ddeItem name="PAGE.2.89.8" advise="1">
        <values>
          <value t="str">
            <val/>
          </value>
        </values>
      </ddeItem>
      <ddeItem name="PAGE.2.89.9" advise="1">
        <values>
          <value t="str">
            <val/>
          </value>
        </values>
      </ddeItem>
      <ddeItem name="PAGE.2.9.1" advise="1">
        <values>
          <value t="str">
            <val>15/12</val>
          </value>
        </values>
      </ddeItem>
      <ddeItem name="PAGE.2.9.10" advise="1">
        <values>
          <value t="str">
            <val/>
          </value>
        </values>
      </ddeItem>
      <ddeItem name="PAGE.2.9.11" advise="1">
        <values>
          <value t="str">
            <val>TRT050527T17_KESN_T0</val>
          </value>
        </values>
      </ddeItem>
      <ddeItem name="PAGE.2.9.2" advise="1">
        <values>
          <value t="str">
            <val>TRT050527T17</val>
          </value>
        </values>
      </ddeItem>
      <ddeItem name="PAGE.2.9.3" advise="1">
        <values>
          <value t="str">
            <val/>
          </value>
        </values>
      </ddeItem>
      <ddeItem name="PAGE.2.9.4" advise="1">
        <values>
          <value t="str">
            <val/>
          </value>
        </values>
      </ddeItem>
      <ddeItem name="PAGE.2.9.5" advise="1">
        <values>
          <value t="str">
            <val/>
          </value>
        </values>
      </ddeItem>
      <ddeItem name="PAGE.2.9.6" advise="1">
        <values>
          <value t="str">
            <val/>
          </value>
        </values>
      </ddeItem>
      <ddeItem name="PAGE.2.9.7" advise="1">
        <values>
          <value t="str">
            <val>09:32:12</val>
          </value>
        </values>
      </ddeItem>
      <ddeItem name="PAGE.2.9.8" advise="1">
        <values>
          <value t="str">
            <val/>
          </value>
        </values>
      </ddeItem>
      <ddeItem name="PAGE.2.9.9" advise="1">
        <values>
          <value>
            <val>4.0835164839999996</val>
          </value>
        </values>
      </ddeItem>
      <ddeItem name="PAGE.2.90.1" advise="1">
        <values>
          <value t="str">
            <val>15/12</val>
          </value>
        </values>
      </ddeItem>
      <ddeItem name="PAGE.2.90.10" advise="1">
        <values>
          <value>
            <val>110.18</val>
          </value>
        </values>
      </ddeItem>
      <ddeItem name="PAGE.2.90.11" advise="1">
        <values>
          <value t="str">
            <val>TRDEVKS92718_KESN_T0</val>
          </value>
        </values>
      </ddeItem>
      <ddeItem name="PAGE.2.90.2" advise="1">
        <values>
          <value t="str">
            <val>TRDEVKS92718</val>
          </value>
        </values>
      </ddeItem>
      <ddeItem name="PAGE.2.90.3" advise="1">
        <values>
          <value>
            <val>110.18</val>
          </value>
        </values>
      </ddeItem>
      <ddeItem name="PAGE.2.90.4" advise="1">
        <values>
          <value t="str">
            <val/>
          </value>
        </values>
      </ddeItem>
      <ddeItem name="PAGE.2.90.5" advise="1">
        <values>
          <value t="str">
            <val/>
          </value>
        </values>
      </ddeItem>
      <ddeItem name="PAGE.2.90.6" advise="1">
        <values>
          <value>
            <val>493000000</val>
          </value>
        </values>
      </ddeItem>
      <ddeItem name="PAGE.2.90.7" advise="1">
        <values>
          <value t="str">
            <val>12:02:00</val>
          </value>
        </values>
      </ddeItem>
      <ddeItem name="PAGE.2.90.8" advise="1">
        <values>
          <value>
            <val>543187400</val>
          </value>
        </values>
      </ddeItem>
      <ddeItem name="PAGE.2.90.9" advise="1">
        <values>
          <value t="str">
            <val/>
          </value>
        </values>
      </ddeItem>
      <ddeItem name="PAGE.2.91.1" advise="1">
        <values>
          <value t="str">
            <val>15/12</val>
          </value>
        </values>
      </ddeItem>
      <ddeItem name="PAGE.2.91.10" advise="1">
        <values>
          <value t="str">
            <val/>
          </value>
        </values>
      </ddeItem>
      <ddeItem name="PAGE.2.91.11" advise="1">
        <values>
          <value t="str">
            <val>TRFGZNM82618_KESN_T0</val>
          </value>
        </values>
      </ddeItem>
      <ddeItem name="PAGE.2.91.2" advise="1">
        <values>
          <value t="str">
            <val>TRFGZNM82618</val>
          </value>
        </values>
      </ddeItem>
      <ddeItem name="PAGE.2.91.3" advise="1">
        <values>
          <value t="str">
            <val/>
          </value>
        </values>
      </ddeItem>
      <ddeItem name="PAGE.2.91.4" advise="1">
        <values>
          <value t="str">
            <val/>
          </value>
        </values>
      </ddeItem>
      <ddeItem name="PAGE.2.91.5" advise="1">
        <values>
          <value t="str">
            <val/>
          </value>
        </values>
      </ddeItem>
      <ddeItem name="PAGE.2.91.6" advise="1">
        <values>
          <value t="str">
            <val/>
          </value>
        </values>
      </ddeItem>
      <ddeItem name="PAGE.2.91.7" advise="1">
        <values>
          <value t="str">
            <val>10:32:34</val>
          </value>
        </values>
      </ddeItem>
      <ddeItem name="PAGE.2.91.8" advise="1">
        <values>
          <value t="str">
            <val/>
          </value>
        </values>
      </ddeItem>
      <ddeItem name="PAGE.2.91.9" advise="1">
        <values>
          <value t="str">
            <val/>
          </value>
        </values>
      </ddeItem>
      <ddeItem name="PAGE.2.92.1" advise="1">
        <values>
          <value t="str">
            <val>15/12</val>
          </value>
        </values>
      </ddeItem>
      <ddeItem name="PAGE.2.92.10" advise="1">
        <values>
          <value t="str">
            <val/>
          </value>
        </values>
      </ddeItem>
      <ddeItem name="PAGE.2.92.11" advise="1">
        <values>
          <value t="str">
            <val>TRFGZNM92617_KESN_T0</val>
          </value>
        </values>
      </ddeItem>
      <ddeItem name="PAGE.2.92.2" advise="1">
        <values>
          <value t="str">
            <val>TRFGZNM92617</val>
          </value>
        </values>
      </ddeItem>
      <ddeItem name="PAGE.2.92.3" advise="1">
        <values>
          <value t="str">
            <val/>
          </value>
        </values>
      </ddeItem>
      <ddeItem name="PAGE.2.92.4" advise="1">
        <values>
          <value t="str">
            <val/>
          </value>
        </values>
      </ddeItem>
      <ddeItem name="PAGE.2.92.5" advise="1">
        <values>
          <value t="str">
            <val/>
          </value>
        </values>
      </ddeItem>
      <ddeItem name="PAGE.2.92.6" advise="1">
        <values>
          <value t="str">
            <val/>
          </value>
        </values>
      </ddeItem>
      <ddeItem name="PAGE.2.92.7" advise="1">
        <values>
          <value t="str">
            <val>10:32:58</val>
          </value>
        </values>
      </ddeItem>
      <ddeItem name="PAGE.2.92.8" advise="1">
        <values>
          <value t="str">
            <val/>
          </value>
        </values>
      </ddeItem>
      <ddeItem name="PAGE.2.92.9" advise="1">
        <values>
          <value t="str">
            <val/>
          </value>
        </values>
      </ddeItem>
      <ddeItem name="PAGE.2.93.1" advise="1">
        <values>
          <value t="str">
            <val>15/12</val>
          </value>
        </values>
      </ddeItem>
      <ddeItem name="PAGE.2.93.10" advise="1">
        <values>
          <value t="str">
            <val/>
          </value>
        </values>
      </ddeItem>
      <ddeItem name="PAGE.2.93.11" advise="1">
        <values>
          <value t="str">
            <val>TRFGZNMK2611_KESN_T0</val>
          </value>
        </values>
      </ddeItem>
      <ddeItem name="PAGE.2.93.2" advise="1">
        <values>
          <value t="str">
            <val>TRFGZNMK2611</val>
          </value>
        </values>
      </ddeItem>
      <ddeItem name="PAGE.2.93.3" advise="1">
        <values>
          <value t="str">
            <val/>
          </value>
        </values>
      </ddeItem>
      <ddeItem name="PAGE.2.93.4" advise="1">
        <values>
          <value t="str">
            <val/>
          </value>
        </values>
      </ddeItem>
      <ddeItem name="PAGE.2.93.5" advise="1">
        <values>
          <value t="str">
            <val/>
          </value>
        </values>
      </ddeItem>
      <ddeItem name="PAGE.2.93.6" advise="1">
        <values>
          <value t="str">
            <val/>
          </value>
        </values>
      </ddeItem>
      <ddeItem name="PAGE.2.93.7" advise="1">
        <values>
          <value t="str">
            <val>10:33:29</val>
          </value>
        </values>
      </ddeItem>
      <ddeItem name="PAGE.2.93.8" advise="1">
        <values>
          <value t="str">
            <val/>
          </value>
        </values>
      </ddeItem>
      <ddeItem name="PAGE.2.93.9" advise="1">
        <values>
          <value t="str">
            <val/>
          </value>
        </values>
      </ddeItem>
      <ddeItem name="PAGE.2.94.1" advise="1">
        <values>
          <value t="str">
            <val>15/12</val>
          </value>
        </values>
      </ddeItem>
      <ddeItem name="PAGE.2.94.10" advise="1">
        <values>
          <value>
            <val>5970</val>
          </value>
        </values>
      </ddeItem>
      <ddeItem name="PAGE.2.94.11" advise="1">
        <values>
          <value t="str">
            <val>TRD200526T17_KESN_T0</val>
          </value>
        </values>
      </ddeItem>
      <ddeItem name="PAGE.2.94.2" advise="1">
        <values>
          <value t="str">
            <val>TRD200526T17</val>
          </value>
        </values>
      </ddeItem>
      <ddeItem name="PAGE.2.94.3" advise="1">
        <values>
          <value>
            <val>5970</val>
          </value>
        </values>
      </ddeItem>
      <ddeItem name="PAGE.2.94.4" advise="1">
        <values>
          <value t="str">
            <val/>
          </value>
        </values>
      </ddeItem>
      <ddeItem name="PAGE.2.94.5" advise="1">
        <values>
          <value t="str">
            <val/>
          </value>
        </values>
      </ddeItem>
      <ddeItem name="PAGE.2.94.6" advise="1">
        <values>
          <value>
            <val>4975</val>
          </value>
        </values>
      </ddeItem>
      <ddeItem name="PAGE.2.94.7" advise="1">
        <values>
          <value t="str">
            <val>12:52:31</val>
          </value>
        </values>
      </ddeItem>
      <ddeItem name="PAGE.2.94.8" advise="1">
        <values>
          <value>
            <val>29700750</val>
          </value>
        </values>
      </ddeItem>
      <ddeItem name="PAGE.2.94.9" advise="1">
        <values>
          <value t="str">
            <val/>
          </value>
        </values>
      </ddeItem>
      <ddeItem name="PAGE.2.95.1" advise="1">
        <values>
          <value t="str">
            <val>15/12</val>
          </value>
        </values>
      </ddeItem>
      <ddeItem name="PAGE.2.95.10" advise="1">
        <values>
          <value>
            <val>5975</val>
          </value>
        </values>
      </ddeItem>
      <ddeItem name="PAGE.2.95.11" advise="1">
        <values>
          <value t="str">
            <val>TRD260126T15_KESN_T0</val>
          </value>
        </values>
      </ddeItem>
      <ddeItem name="PAGE.2.95.2" advise="1">
        <values>
          <value t="str">
            <val>TRD260126T15</val>
          </value>
        </values>
      </ddeItem>
      <ddeItem name="PAGE.2.95.3" advise="1">
        <values>
          <value>
            <val>5975</val>
          </value>
        </values>
      </ddeItem>
      <ddeItem name="PAGE.2.95.4" advise="1">
        <values>
          <value t="str">
            <val/>
          </value>
        </values>
      </ddeItem>
      <ddeItem name="PAGE.2.95.5" advise="1">
        <values>
          <value t="str">
            <val/>
          </value>
        </values>
      </ddeItem>
      <ddeItem name="PAGE.2.95.6" advise="1">
        <values>
          <value>
            <val>5970</val>
          </value>
        </values>
      </ddeItem>
      <ddeItem name="PAGE.2.95.7" advise="1">
        <values>
          <value t="str">
            <val>12:03:31</val>
          </value>
        </values>
      </ddeItem>
      <ddeItem name="PAGE.2.95.8" advise="1">
        <values>
          <value>
            <val>35670750</val>
          </value>
        </values>
      </ddeItem>
      <ddeItem name="PAGE.2.95.9" advise="1">
        <values>
          <value t="str">
            <val/>
          </value>
        </values>
      </ddeItem>
      <ddeItem name="PAGE.2.96.1" advise="1">
        <values>
          <value t="str">
            <val>15/12</val>
          </value>
        </values>
      </ddeItem>
      <ddeItem name="PAGE.2.96.10" advise="1">
        <values>
          <value t="str">
            <val/>
          </value>
        </values>
      </ddeItem>
      <ddeItem name="PAGE.2.96.11" advise="1">
        <values>
          <value t="str">
            <val>TRDKTSK12618_KESN_T0</val>
          </value>
        </values>
      </ddeItem>
      <ddeItem name="PAGE.2.96.2" advise="1">
        <values>
          <value t="str">
            <val>TRDKTSK12618</val>
          </value>
        </values>
      </ddeItem>
      <ddeItem name="PAGE.2.96.3" advise="1">
        <values>
          <value t="str">
            <val/>
          </value>
        </values>
      </ddeItem>
      <ddeItem name="PAGE.2.96.4" advise="1">
        <values>
          <value t="str">
            <val/>
          </value>
        </values>
      </ddeItem>
      <ddeItem name="PAGE.2.96.5" advise="1">
        <values>
          <value t="str">
            <val/>
          </value>
        </values>
      </ddeItem>
      <ddeItem name="PAGE.2.96.6" advise="1">
        <values>
          <value t="str">
            <val/>
          </value>
        </values>
      </ddeItem>
      <ddeItem name="PAGE.2.96.7" advise="1">
        <values>
          <value t="str">
            <val>11:47:23</val>
          </value>
        </values>
      </ddeItem>
      <ddeItem name="PAGE.2.96.8" advise="1">
        <values>
          <value t="str">
            <val/>
          </value>
        </values>
      </ddeItem>
      <ddeItem name="PAGE.2.96.9" advise="1">
        <values>
          <value>
            <val>24.432878537000001</val>
          </value>
        </values>
      </ddeItem>
      <ddeItem name="PAGE.2.97.1" advise="1">
        <values>
          <value t="str">
            <val>15/12</val>
          </value>
        </values>
      </ddeItem>
      <ddeItem name="PAGE.2.97.10" advise="1">
        <values>
          <value>
            <val>107.53400000000001</val>
          </value>
        </values>
      </ddeItem>
      <ddeItem name="PAGE.2.97.11" advise="1">
        <values>
          <value t="str">
            <val>TRDEMVK12628_KESN_T0</val>
          </value>
        </values>
      </ddeItem>
      <ddeItem name="PAGE.2.97.2" advise="1">
        <values>
          <value t="str">
            <val>TRDEMVK12628</val>
          </value>
        </values>
      </ddeItem>
      <ddeItem name="PAGE.2.97.3" advise="1">
        <values>
          <value>
            <val>100.12</val>
          </value>
        </values>
      </ddeItem>
      <ddeItem name="PAGE.2.97.4" advise="1">
        <values>
          <value>
            <val>36.67</val>
          </value>
        </values>
      </ddeItem>
      <ddeItem name="PAGE.2.97.5" advise="1">
        <values>
          <value>
            <val>43.57</val>
          </value>
        </values>
      </ddeItem>
      <ddeItem name="PAGE.2.97.6" advise="1">
        <values>
          <value>
            <val>10000000</val>
          </value>
        </values>
      </ddeItem>
      <ddeItem name="PAGE.2.97.7" advise="1">
        <values>
          <value t="str">
            <val>11:43:29</val>
          </value>
        </values>
      </ddeItem>
      <ddeItem name="PAGE.2.97.8" advise="1">
        <values>
          <value>
            <val>10753369.57</val>
          </value>
        </values>
      </ddeItem>
      <ddeItem name="PAGE.2.97.9" advise="1">
        <values>
          <value>
            <val>7.4136957450000001</val>
          </value>
        </values>
      </ddeItem>
      <ddeItem name="PAGE.2.98.1" advise="1">
        <values>
          <value t="str">
            <val>15/12</val>
          </value>
        </values>
      </ddeItem>
      <ddeItem name="PAGE.2.98.10" advise="1">
        <values>
          <value>
            <val>108.468</val>
          </value>
        </values>
      </ddeItem>
      <ddeItem name="PAGE.2.98.11" advise="1">
        <values>
          <value t="str">
            <val>TRDQFVK12618_KESN_T0</val>
          </value>
        </values>
      </ddeItem>
      <ddeItem name="PAGE.2.98.2" advise="1">
        <values>
          <value t="str">
            <val>TRDQFVK12618</val>
          </value>
        </values>
      </ddeItem>
      <ddeItem name="PAGE.2.98.3" advise="1">
        <values>
          <value>
            <val>100.66</val>
          </value>
        </values>
      </ddeItem>
      <ddeItem name="PAGE.2.98.4" advise="1">
        <values>
          <value>
            <val>36.630000000000003</val>
          </value>
        </values>
      </ddeItem>
      <ddeItem name="PAGE.2.98.5" advise="1">
        <values>
          <value>
            <val>43.44</val>
          </value>
        </values>
      </ddeItem>
      <ddeItem name="PAGE.2.98.6" advise="1">
        <values>
          <value>
            <val>6300000</val>
          </value>
        </values>
      </ddeItem>
      <ddeItem name="PAGE.2.98.7" advise="1">
        <values>
          <value t="str">
            <val>11:10:01</val>
          </value>
        </values>
      </ddeItem>
      <ddeItem name="PAGE.2.98.8" advise="1">
        <values>
          <value>
            <val>6833499.2300000004</val>
          </value>
        </values>
      </ddeItem>
      <ddeItem name="PAGE.2.98.9" advise="1">
        <values>
          <value>
            <val>7.8082417580000003</val>
          </value>
        </values>
      </ddeItem>
      <ddeItem name="PAGE.2.99.1" advise="1">
        <values>
          <value t="str">
            <val>15/12</val>
          </value>
        </values>
      </ddeItem>
      <ddeItem name="PAGE.2.99.10" advise="1">
        <values>
          <value>
            <val>107.31100000000001</val>
          </value>
        </values>
      </ddeItem>
      <ddeItem name="PAGE.2.99.11" advise="1">
        <values>
          <value t="str">
            <val>TRDEMVK12610_KESN_T0</val>
          </value>
        </values>
      </ddeItem>
      <ddeItem name="PAGE.2.99.2" advise="1">
        <values>
          <value t="str">
            <val>TRDEMVK12610</val>
          </value>
        </values>
      </ddeItem>
      <ddeItem name="PAGE.2.99.3" advise="1">
        <values>
          <value>
            <val>100.36</val>
          </value>
        </values>
      </ddeItem>
      <ddeItem name="PAGE.2.99.4" advise="1">
        <values>
          <value>
            <val>36.57</val>
          </value>
        </values>
      </ddeItem>
      <ddeItem name="PAGE.2.99.5" advise="1">
        <values>
          <value>
            <val>43.25</val>
          </value>
        </values>
      </ddeItem>
      <ddeItem name="PAGE.2.99.6" advise="1">
        <values>
          <value>
            <val>10000000</val>
          </value>
        </values>
      </ddeItem>
      <ddeItem name="PAGE.2.99.7" advise="1">
        <values>
          <value t="str">
            <val>11:43:29</val>
          </value>
        </values>
      </ddeItem>
      <ddeItem name="PAGE.2.99.8" advise="1">
        <values>
          <value>
            <val>10731068.33</val>
          </value>
        </values>
      </ddeItem>
      <ddeItem name="PAGE.2.99.9" advise="1">
        <values>
          <value>
            <val>6.9506832980000004</val>
          </value>
        </values>
      </ddeItem>
      <ddeItem name="StdDocumentName" ole="1" advise="1"/>
    </ddeItems>
  </dd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B4B7-CE28-6E45-98C7-DBBB910AA9EC}">
  <dimension ref="A1:P7"/>
  <sheetViews>
    <sheetView tabSelected="1" workbookViewId="0">
      <selection activeCell="C14" sqref="C14"/>
    </sheetView>
  </sheetViews>
  <sheetFormatPr defaultColWidth="11.5546875" defaultRowHeight="15"/>
  <cols>
    <col min="2" max="2" width="10.77734375" customWidth="1"/>
    <col min="3" max="3" width="11.44140625" bestFit="1" customWidth="1"/>
    <col min="4" max="4" width="14" customWidth="1"/>
    <col min="5" max="7" width="11.77734375" customWidth="1"/>
    <col min="8" max="8" width="11.77734375" bestFit="1" customWidth="1"/>
    <col min="9" max="9" width="15.109375" bestFit="1" customWidth="1"/>
    <col min="10" max="10" width="20.77734375" bestFit="1" customWidth="1"/>
    <col min="11" max="11" width="15.109375" bestFit="1" customWidth="1"/>
    <col min="12" max="12" width="14.77734375" customWidth="1"/>
    <col min="13" max="13" width="15.109375" bestFit="1" customWidth="1"/>
    <col min="14" max="14" width="16.109375" customWidth="1"/>
    <col min="15" max="15" width="14.44140625" bestFit="1" customWidth="1"/>
    <col min="16" max="16" width="13.44140625" style="3" bestFit="1" customWidth="1"/>
    <col min="17" max="17" width="10.109375" bestFit="1" customWidth="1"/>
    <col min="18" max="19" width="6.6640625" bestFit="1" customWidth="1"/>
    <col min="20" max="26" width="5.6640625" bestFit="1" customWidth="1"/>
    <col min="27" max="28" width="4.6640625" bestFit="1" customWidth="1"/>
    <col min="29" max="30" width="5.33203125" bestFit="1" customWidth="1"/>
    <col min="31" max="31" width="10.109375" bestFit="1" customWidth="1"/>
    <col min="32" max="32" width="12.6640625" bestFit="1" customWidth="1"/>
    <col min="33" max="33" width="3.109375" bestFit="1" customWidth="1"/>
    <col min="34" max="34" width="10.109375" bestFit="1" customWidth="1"/>
    <col min="35" max="35" width="12.6640625" bestFit="1" customWidth="1"/>
    <col min="36" max="36" width="2.109375" bestFit="1" customWidth="1"/>
    <col min="40" max="40" width="10.109375" bestFit="1" customWidth="1"/>
    <col min="41" max="41" width="12.6640625" bestFit="1" customWidth="1"/>
    <col min="42" max="42" width="3.109375" bestFit="1" customWidth="1"/>
    <col min="43" max="43" width="12.109375" bestFit="1" customWidth="1"/>
    <col min="44" max="44" width="14.6640625" bestFit="1" customWidth="1"/>
  </cols>
  <sheetData>
    <row r="1" spans="1:16">
      <c r="A1" s="1">
        <v>46006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L1" t="s">
        <v>11</v>
      </c>
    </row>
    <row r="2" spans="1:16">
      <c r="A2" t="s">
        <v>10</v>
      </c>
      <c r="B2" s="1">
        <v>46007</v>
      </c>
      <c r="C2">
        <f>37.74*(1-0.15)</f>
        <v>32.079000000000001</v>
      </c>
      <c r="J2" s="1"/>
      <c r="L2" s="1">
        <v>46068</v>
      </c>
    </row>
    <row r="3" spans="1:16">
      <c r="A3" t="s">
        <v>1</v>
      </c>
      <c r="B3" s="1">
        <v>46071</v>
      </c>
      <c r="C3" s="2">
        <v>111883</v>
      </c>
      <c r="D3" s="1">
        <v>46071</v>
      </c>
      <c r="E3">
        <v>18500</v>
      </c>
      <c r="L3" s="1">
        <v>46157</v>
      </c>
    </row>
    <row r="4" spans="1:16">
      <c r="A4" t="s">
        <v>0</v>
      </c>
      <c r="B4" s="1">
        <v>46092</v>
      </c>
      <c r="C4" s="2">
        <v>92618</v>
      </c>
      <c r="L4" s="1">
        <v>46249</v>
      </c>
    </row>
    <row r="5" spans="1:16">
      <c r="A5" t="s">
        <v>0</v>
      </c>
      <c r="B5" s="1">
        <v>46190</v>
      </c>
      <c r="C5" s="2">
        <v>84615</v>
      </c>
      <c r="L5" s="1">
        <v>46310</v>
      </c>
      <c r="O5" s="3"/>
      <c r="P5"/>
    </row>
    <row r="6" spans="1:16">
      <c r="A6" t="s">
        <v>1</v>
      </c>
      <c r="B6" s="1">
        <v>46428</v>
      </c>
      <c r="C6" s="2">
        <v>108180</v>
      </c>
      <c r="D6" s="1">
        <v>46063</v>
      </c>
      <c r="E6">
        <v>16300</v>
      </c>
      <c r="F6" s="1">
        <v>46244</v>
      </c>
      <c r="G6">
        <v>16300</v>
      </c>
      <c r="H6" s="1">
        <v>46428</v>
      </c>
      <c r="I6">
        <v>16300</v>
      </c>
      <c r="L6" s="1">
        <v>46371</v>
      </c>
    </row>
    <row r="7" spans="1:16">
      <c r="B7" s="1"/>
      <c r="C7" s="2"/>
      <c r="L7" s="1">
        <v>46428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63D3-3FB7-4EAD-8EBE-6C092E51CDD5}">
  <sheetPr filterMode="1"/>
  <dimension ref="A1:K114"/>
  <sheetViews>
    <sheetView workbookViewId="0">
      <selection activeCell="C26" sqref="C26"/>
    </sheetView>
  </sheetViews>
  <sheetFormatPr defaultRowHeight="15"/>
  <cols>
    <col min="2" max="2" width="17.109375" customWidth="1"/>
    <col min="3" max="3" width="27.77734375" bestFit="1" customWidth="1"/>
    <col min="5" max="5" width="8.88671875" customWidth="1"/>
    <col min="6" max="6" width="11.5546875" customWidth="1"/>
    <col min="7" max="7" width="16.6640625" style="4" customWidth="1"/>
    <col min="8" max="8" width="17.21875" style="5" customWidth="1"/>
    <col min="9" max="12" width="11.33203125" customWidth="1"/>
  </cols>
  <sheetData>
    <row r="1" spans="1:11">
      <c r="A1" t="s">
        <v>12</v>
      </c>
      <c r="B1" t="s">
        <v>13</v>
      </c>
      <c r="C1" t="s">
        <v>14</v>
      </c>
      <c r="D1" t="s">
        <v>15</v>
      </c>
      <c r="J1" t="s">
        <v>16</v>
      </c>
    </row>
    <row r="2" spans="1:11" hidden="1">
      <c r="A2" t="str">
        <f>[1]!PAGE.2.9.1</f>
        <v>15/12</v>
      </c>
      <c r="B2" t="str">
        <f>[1]!PAGE.2.9.2</f>
        <v>TRT050527T17</v>
      </c>
      <c r="C2" t="str">
        <f>[1]!PAGE.2.9.11</f>
        <v>TRT050527T17_KESN_T0</v>
      </c>
      <c r="D2" t="str">
        <f>[1]!PAGE.2.9.3</f>
        <v/>
      </c>
      <c r="E2" t="str">
        <f>[1]!PAGE.2.9.4</f>
        <v/>
      </c>
      <c r="F2" t="str">
        <f>[1]!PAGE.2.9.5</f>
        <v/>
      </c>
      <c r="G2" s="4" t="str">
        <f>[1]!PAGE.2.9.6</f>
        <v/>
      </c>
      <c r="H2" s="4" t="str">
        <f>[1]!PAGE.2.9.8</f>
        <v/>
      </c>
      <c r="I2">
        <f>[1]!PAGE.2.9.9</f>
        <v>4.0835164839999996</v>
      </c>
      <c r="J2" t="str">
        <f>[1]!PAGE.2.9.10</f>
        <v/>
      </c>
      <c r="K2" t="str">
        <f>[1]!PAGE.2.9.7</f>
        <v>09:32:12</v>
      </c>
    </row>
    <row r="3" spans="1:11" hidden="1">
      <c r="A3" t="str">
        <f>[1]!PAGE.2.11.1</f>
        <v>15/12</v>
      </c>
      <c r="B3" t="str">
        <f>[1]!PAGE.2.11.2</f>
        <v>TRT050527T33</v>
      </c>
      <c r="C3" t="str">
        <f>[1]!PAGE.2.11.11</f>
        <v>TRT050527T33_KESN_T0</v>
      </c>
      <c r="D3" t="str">
        <f>[1]!PAGE.2.11.3</f>
        <v/>
      </c>
      <c r="E3" t="str">
        <f>[1]!PAGE.2.11.4</f>
        <v/>
      </c>
      <c r="F3" t="str">
        <f>[1]!PAGE.2.11.5</f>
        <v/>
      </c>
      <c r="G3" s="4" t="str">
        <f>[1]!PAGE.2.11.6</f>
        <v/>
      </c>
      <c r="H3" s="4" t="str">
        <f>[1]!PAGE.2.11.8</f>
        <v/>
      </c>
      <c r="I3">
        <f>[1]!PAGE.2.11.9</f>
        <v>4.5054945049999997</v>
      </c>
      <c r="J3" t="str">
        <f>[1]!PAGE.2.11.10</f>
        <v/>
      </c>
      <c r="K3" t="str">
        <f>[1]!PAGE.2.11.7</f>
        <v>10:08:07</v>
      </c>
    </row>
    <row r="4" spans="1:11" hidden="1">
      <c r="A4" t="str">
        <f>[1]!PAGE.2.3.1</f>
        <v>15/12</v>
      </c>
      <c r="B4" t="str">
        <f>[1]!PAGE.2.3.2</f>
        <v>TRD080927T34</v>
      </c>
      <c r="C4" t="str">
        <f>[1]!PAGE.2.3.11</f>
        <v>TRD080927T34_KESN_T0</v>
      </c>
      <c r="D4">
        <f>[1]!PAGE.2.3.3</f>
        <v>101.202</v>
      </c>
      <c r="E4" t="str">
        <f>[1]!PAGE.2.3.4</f>
        <v/>
      </c>
      <c r="F4" t="str">
        <f>[1]!PAGE.2.3.5</f>
        <v/>
      </c>
      <c r="G4">
        <f>[1]!PAGE.2.3.6</f>
        <v>16210000</v>
      </c>
      <c r="H4">
        <f>[1]!PAGE.2.3.8</f>
        <v>18243170.890000001</v>
      </c>
      <c r="I4">
        <f>[1]!PAGE.2.3.9</f>
        <v>11.340659341</v>
      </c>
      <c r="J4">
        <f>[1]!PAGE.2.3.10</f>
        <v>112.54300000000001</v>
      </c>
      <c r="K4" t="str">
        <f>[1]!PAGE.2.3.7</f>
        <v>13:30:40</v>
      </c>
    </row>
    <row r="5" spans="1:11">
      <c r="A5" t="str">
        <f>[1]!PAGE.2.4.1</f>
        <v>15/12</v>
      </c>
      <c r="B5" t="str">
        <f>[1]!PAGE.2.4.2</f>
        <v>TRB170626T13</v>
      </c>
      <c r="C5" t="str">
        <f>[1]!PAGE.2.4.11</f>
        <v>TRB170626T13_KESN_T0</v>
      </c>
      <c r="D5">
        <f>[1]!PAGE.2.4.3</f>
        <v>84.614999999999995</v>
      </c>
      <c r="E5">
        <f>[1]!PAGE.2.4.4</f>
        <v>36.07</v>
      </c>
      <c r="F5">
        <f>[1]!PAGE.2.4.5</f>
        <v>39.29</v>
      </c>
      <c r="G5" s="4">
        <f>[1]!PAGE.2.4.6</f>
        <v>5053000000</v>
      </c>
      <c r="H5" s="5">
        <f>[1]!PAGE.2.4.8</f>
        <v>4275606932.8899999</v>
      </c>
      <c r="I5" t="str">
        <f>[1]!PAGE.2.4.9</f>
        <v/>
      </c>
      <c r="J5">
        <f>[1]!PAGE.2.4.10</f>
        <v>84.614999999999995</v>
      </c>
      <c r="K5" t="str">
        <f>[1]!PAGE.2.4.7</f>
        <v>13:56:07</v>
      </c>
    </row>
    <row r="6" spans="1:11" hidden="1">
      <c r="A6" t="str">
        <f>[1]!PAGE.2.52.1</f>
        <v>15/12</v>
      </c>
      <c r="B6" t="str">
        <f>[1]!PAGE.2.52.2</f>
        <v>TRT050630T11</v>
      </c>
      <c r="C6" t="str">
        <f>[1]!PAGE.2.52.11</f>
        <v>TRT050630T11_KESN_T0</v>
      </c>
      <c r="D6" t="str">
        <f>[1]!PAGE.2.52.3</f>
        <v/>
      </c>
      <c r="E6" t="str">
        <f>[1]!PAGE.2.52.4</f>
        <v/>
      </c>
      <c r="F6" t="str">
        <f>[1]!PAGE.2.52.5</f>
        <v/>
      </c>
      <c r="G6" s="4" t="str">
        <f>[1]!PAGE.2.52.6</f>
        <v/>
      </c>
      <c r="H6" s="4" t="str">
        <f>[1]!PAGE.2.52.8</f>
        <v/>
      </c>
      <c r="I6">
        <f>[1]!PAGE.2.52.9</f>
        <v>0.51098901100000005</v>
      </c>
      <c r="J6" t="str">
        <f>[1]!PAGE.2.52.10</f>
        <v/>
      </c>
      <c r="K6" t="str">
        <f>[1]!PAGE.2.52.7</f>
        <v>10:03:57</v>
      </c>
    </row>
    <row r="7" spans="1:11" hidden="1">
      <c r="A7" t="str">
        <f>[1]!PAGE.2.54.1</f>
        <v>15/12</v>
      </c>
      <c r="B7" t="str">
        <f>[1]!PAGE.2.54.2</f>
        <v>TRT010328T12</v>
      </c>
      <c r="C7" t="str">
        <f>[1]!PAGE.2.54.11</f>
        <v>TRT010328T12_KESN_T0</v>
      </c>
      <c r="D7" t="str">
        <f>[1]!PAGE.2.54.3</f>
        <v/>
      </c>
      <c r="E7" t="str">
        <f>[1]!PAGE.2.54.4</f>
        <v/>
      </c>
      <c r="F7" t="str">
        <f>[1]!PAGE.2.54.5</f>
        <v/>
      </c>
      <c r="G7" s="4" t="str">
        <f>[1]!PAGE.2.54.6</f>
        <v/>
      </c>
      <c r="H7" s="4" t="str">
        <f>[1]!PAGE.2.54.8</f>
        <v/>
      </c>
      <c r="I7">
        <f>[1]!PAGE.2.54.9</f>
        <v>1.300877982</v>
      </c>
      <c r="J7" t="str">
        <f>[1]!PAGE.2.54.10</f>
        <v/>
      </c>
      <c r="K7" t="str">
        <f>[1]!PAGE.2.54.7</f>
        <v>10:20:20</v>
      </c>
    </row>
    <row r="8" spans="1:11" hidden="1">
      <c r="A8" t="str">
        <f>[1]!PAGE.2.56.1</f>
        <v>15/12</v>
      </c>
      <c r="B8" t="str">
        <f>[1]!PAGE.2.56.2</f>
        <v>TRT131027T10</v>
      </c>
      <c r="C8" t="str">
        <f>[1]!PAGE.2.56.11</f>
        <v>TRT131027T10_KESN_T0</v>
      </c>
      <c r="D8" t="str">
        <f>[1]!PAGE.2.56.3</f>
        <v/>
      </c>
      <c r="E8" t="str">
        <f>[1]!PAGE.2.56.4</f>
        <v/>
      </c>
      <c r="F8" t="str">
        <f>[1]!PAGE.2.56.5</f>
        <v/>
      </c>
      <c r="G8" s="4" t="str">
        <f>[1]!PAGE.2.56.6</f>
        <v/>
      </c>
      <c r="H8" s="4" t="str">
        <f>[1]!PAGE.2.56.8</f>
        <v/>
      </c>
      <c r="I8">
        <f>[1]!PAGE.2.56.9</f>
        <v>6.8076151669999998</v>
      </c>
      <c r="J8" t="str">
        <f>[1]!PAGE.2.56.10</f>
        <v/>
      </c>
      <c r="K8" t="str">
        <f>[1]!PAGE.2.56.7</f>
        <v>11:57:17</v>
      </c>
    </row>
    <row r="9" spans="1:11" hidden="1">
      <c r="A9" t="str">
        <f>[1]!PAGE.2.57.1</f>
        <v>15/12</v>
      </c>
      <c r="B9" t="str">
        <f>[1]!PAGE.2.57.2</f>
        <v>TRT120826T16</v>
      </c>
      <c r="C9" t="str">
        <f>[1]!PAGE.2.57.11</f>
        <v>TRT120826T16_KESN_T0</v>
      </c>
      <c r="D9" t="str">
        <f>[1]!PAGE.2.57.3</f>
        <v/>
      </c>
      <c r="E9" t="str">
        <f>[1]!PAGE.2.57.4</f>
        <v/>
      </c>
      <c r="F9" t="str">
        <f>[1]!PAGE.2.57.5</f>
        <v/>
      </c>
      <c r="G9" s="4" t="str">
        <f>[1]!PAGE.2.57.6</f>
        <v/>
      </c>
      <c r="H9" s="4" t="str">
        <f>[1]!PAGE.2.57.8</f>
        <v/>
      </c>
      <c r="I9">
        <f>[1]!PAGE.2.57.9</f>
        <v>12.263736264</v>
      </c>
      <c r="J9" t="str">
        <f>[1]!PAGE.2.57.10</f>
        <v/>
      </c>
      <c r="K9" t="str">
        <f>[1]!PAGE.2.57.7</f>
        <v>13:44:55</v>
      </c>
    </row>
    <row r="10" spans="1:11" hidden="1">
      <c r="A10" t="str">
        <f>[1]!PAGE.2.62.1</f>
        <v>15/12</v>
      </c>
      <c r="B10" t="str">
        <f>[1]!PAGE.2.62.2</f>
        <v>TRT190128T14</v>
      </c>
      <c r="C10" t="str">
        <f>[1]!PAGE.2.62.11</f>
        <v>TRT190128T14_KESN_T0</v>
      </c>
      <c r="D10" t="str">
        <f>[1]!PAGE.2.62.3</f>
        <v/>
      </c>
      <c r="E10" t="str">
        <f>[1]!PAGE.2.62.4</f>
        <v/>
      </c>
      <c r="F10" t="str">
        <f>[1]!PAGE.2.62.5</f>
        <v/>
      </c>
      <c r="G10" s="4" t="str">
        <f>[1]!PAGE.2.62.6</f>
        <v/>
      </c>
      <c r="H10" s="4" t="str">
        <f>[1]!PAGE.2.62.8</f>
        <v/>
      </c>
      <c r="I10">
        <f>[1]!PAGE.2.62.9</f>
        <v>5.9892138690000003</v>
      </c>
      <c r="J10" t="str">
        <f>[1]!PAGE.2.62.10</f>
        <v/>
      </c>
      <c r="K10" t="str">
        <f>[1]!PAGE.2.62.7</f>
        <v>13:11:50</v>
      </c>
    </row>
    <row r="11" spans="1:11" hidden="1">
      <c r="A11" t="str">
        <f>[1]!PAGE.2.13.1</f>
        <v>15/12</v>
      </c>
      <c r="B11" t="str">
        <f>[1]!PAGE.2.13.2</f>
        <v>TRD100227T11</v>
      </c>
      <c r="C11" t="str">
        <f>[1]!PAGE.2.13.11</f>
        <v>TRD100227T11_KESN_T0</v>
      </c>
      <c r="D11" t="str">
        <f>[1]!PAGE.2.13.3</f>
        <v/>
      </c>
      <c r="E11" t="str">
        <f>[1]!PAGE.2.13.4</f>
        <v/>
      </c>
      <c r="F11" t="str">
        <f>[1]!PAGE.2.13.5</f>
        <v/>
      </c>
      <c r="G11" t="str">
        <f>[1]!PAGE.2.13.6</f>
        <v/>
      </c>
      <c r="H11" t="str">
        <f>[1]!PAGE.2.13.8</f>
        <v/>
      </c>
      <c r="I11">
        <f>[1]!PAGE.2.13.9</f>
        <v>11.827692308</v>
      </c>
      <c r="J11" t="str">
        <f>[1]!PAGE.2.13.10</f>
        <v/>
      </c>
      <c r="K11" t="str">
        <f>[1]!PAGE.2.13.7</f>
        <v>13:41:41</v>
      </c>
    </row>
    <row r="12" spans="1:11" hidden="1">
      <c r="A12" t="str">
        <f>[1]!PAGE.2.14.1</f>
        <v>15/12</v>
      </c>
      <c r="B12" t="str">
        <f>[1]!PAGE.2.14.2</f>
        <v>TRD220726T13</v>
      </c>
      <c r="C12" t="str">
        <f>[1]!PAGE.2.14.11</f>
        <v>TRD220726T13_KESN_T0</v>
      </c>
      <c r="D12" t="str">
        <f>[1]!PAGE.2.14.3</f>
        <v/>
      </c>
      <c r="E12" t="str">
        <f>[1]!PAGE.2.14.4</f>
        <v/>
      </c>
      <c r="F12" t="str">
        <f>[1]!PAGE.2.14.5</f>
        <v/>
      </c>
      <c r="G12" t="str">
        <f>[1]!PAGE.2.14.6</f>
        <v/>
      </c>
      <c r="H12" t="str">
        <f>[1]!PAGE.2.14.8</f>
        <v/>
      </c>
      <c r="I12">
        <f>[1]!PAGE.2.14.9</f>
        <v>15.352472527</v>
      </c>
      <c r="J12" t="str">
        <f>[1]!PAGE.2.14.10</f>
        <v/>
      </c>
      <c r="K12" t="str">
        <f>[1]!PAGE.2.14.7</f>
        <v>10:45:15</v>
      </c>
    </row>
    <row r="13" spans="1:11" hidden="1">
      <c r="A13" t="str">
        <f>[1]!PAGE.2.15.1</f>
        <v>15/12</v>
      </c>
      <c r="B13" t="str">
        <f>[1]!PAGE.2.15.2</f>
        <v>TRD120826T14</v>
      </c>
      <c r="C13" t="str">
        <f>[1]!PAGE.2.15.11</f>
        <v>TRD120826T14_KESN_T0</v>
      </c>
      <c r="D13">
        <f>[1]!PAGE.2.15.3</f>
        <v>101.35</v>
      </c>
      <c r="E13">
        <f>[1]!PAGE.2.15.4</f>
        <v>34.64</v>
      </c>
      <c r="F13">
        <f>[1]!PAGE.2.15.5</f>
        <v>37.64</v>
      </c>
      <c r="G13">
        <f>[1]!PAGE.2.15.6</f>
        <v>5000000</v>
      </c>
      <c r="H13">
        <f>[1]!PAGE.2.15.8</f>
        <v>5709642.8600000003</v>
      </c>
      <c r="I13">
        <f>[1]!PAGE.2.15.9</f>
        <v>12.842857143</v>
      </c>
      <c r="J13">
        <f>[1]!PAGE.2.15.10</f>
        <v>114.193</v>
      </c>
      <c r="K13" t="str">
        <f>[1]!PAGE.2.15.7</f>
        <v>10:53:39</v>
      </c>
    </row>
    <row r="14" spans="1:11" hidden="1">
      <c r="A14" t="str">
        <f>[1]!PAGE.2.16.1</f>
        <v>15/12</v>
      </c>
      <c r="B14" t="str">
        <f>[1]!PAGE.2.16.2</f>
        <v>TRD141026T18</v>
      </c>
      <c r="C14" t="str">
        <f>[1]!PAGE.2.16.11</f>
        <v>TRD141026T18_KESN_T0</v>
      </c>
      <c r="D14" t="str">
        <f>[1]!PAGE.2.16.3</f>
        <v/>
      </c>
      <c r="E14" t="str">
        <f>[1]!PAGE.2.16.4</f>
        <v/>
      </c>
      <c r="F14" t="str">
        <f>[1]!PAGE.2.16.5</f>
        <v/>
      </c>
      <c r="G14" t="str">
        <f>[1]!PAGE.2.16.6</f>
        <v/>
      </c>
      <c r="H14" t="str">
        <f>[1]!PAGE.2.16.8</f>
        <v/>
      </c>
      <c r="I14">
        <f>[1]!PAGE.2.16.9</f>
        <v>6.5491208790000002</v>
      </c>
      <c r="J14" t="str">
        <f>[1]!PAGE.2.16.10</f>
        <v/>
      </c>
      <c r="K14" t="str">
        <f>[1]!PAGE.2.16.7</f>
        <v>09:33:37</v>
      </c>
    </row>
    <row r="15" spans="1:11" hidden="1">
      <c r="A15" t="str">
        <f>[1]!PAGE.2.17.1</f>
        <v>15/12</v>
      </c>
      <c r="B15" t="str">
        <f>[1]!PAGE.2.17.2</f>
        <v>TRD200127T10</v>
      </c>
      <c r="C15" t="str">
        <f>[1]!PAGE.2.17.11</f>
        <v>TRD200127T10_KESN_T0</v>
      </c>
      <c r="D15" t="str">
        <f>[1]!PAGE.2.17.3</f>
        <v/>
      </c>
      <c r="E15" t="str">
        <f>[1]!PAGE.2.17.4</f>
        <v/>
      </c>
      <c r="F15" t="str">
        <f>[1]!PAGE.2.17.5</f>
        <v/>
      </c>
      <c r="G15" t="str">
        <f>[1]!PAGE.2.17.6</f>
        <v/>
      </c>
      <c r="H15" t="str">
        <f>[1]!PAGE.2.17.8</f>
        <v/>
      </c>
      <c r="I15">
        <f>[1]!PAGE.2.17.9</f>
        <v>0</v>
      </c>
      <c r="J15" t="str">
        <f>[1]!PAGE.2.17.10</f>
        <v/>
      </c>
      <c r="K15" t="str">
        <f>[1]!PAGE.2.17.7</f>
        <v>13:46:08</v>
      </c>
    </row>
    <row r="16" spans="1:11" hidden="1">
      <c r="A16" t="str">
        <f>[1]!PAGE.2.18.1</f>
        <v>15/12</v>
      </c>
      <c r="B16" t="str">
        <f>[1]!PAGE.2.18.2</f>
        <v>TRD061027T33</v>
      </c>
      <c r="C16" t="str">
        <f>[1]!PAGE.2.18.11</f>
        <v>TRD061027T33_KESN_T0</v>
      </c>
      <c r="D16">
        <f>[1]!PAGE.2.18.3</f>
        <v>100.15</v>
      </c>
      <c r="E16" t="str">
        <f>[1]!PAGE.2.18.4</f>
        <v/>
      </c>
      <c r="F16" t="str">
        <f>[1]!PAGE.2.18.5</f>
        <v/>
      </c>
      <c r="G16">
        <f>[1]!PAGE.2.18.6</f>
        <v>20000000</v>
      </c>
      <c r="H16">
        <f>[1]!PAGE.2.18.8</f>
        <v>21524505.489999998</v>
      </c>
      <c r="I16">
        <f>[1]!PAGE.2.18.9</f>
        <v>7.4725274730000004</v>
      </c>
      <c r="J16">
        <f>[1]!PAGE.2.18.10</f>
        <v>107.623</v>
      </c>
      <c r="K16" t="str">
        <f>[1]!PAGE.2.18.7</f>
        <v>12:56:20</v>
      </c>
    </row>
    <row r="17" spans="1:11" hidden="1">
      <c r="A17" t="str">
        <f>[1]!PAGE.2.73.1</f>
        <v>15/12</v>
      </c>
      <c r="B17" t="str">
        <f>[1]!PAGE.2.73.2</f>
        <v>TRT160627T13</v>
      </c>
      <c r="C17" t="str">
        <f>[1]!PAGE.2.73.11</f>
        <v>TRT160627T13_KESN_T0</v>
      </c>
      <c r="D17" t="str">
        <f>[1]!PAGE.2.73.3</f>
        <v/>
      </c>
      <c r="E17" t="str">
        <f>[1]!PAGE.2.73.4</f>
        <v/>
      </c>
      <c r="F17" t="str">
        <f>[1]!PAGE.2.73.5</f>
        <v/>
      </c>
      <c r="G17" s="4" t="str">
        <f>[1]!PAGE.2.73.6</f>
        <v/>
      </c>
      <c r="H17" s="4" t="str">
        <f>[1]!PAGE.2.73.8</f>
        <v/>
      </c>
      <c r="I17">
        <f>[1]!PAGE.2.73.9</f>
        <v>10.15105404</v>
      </c>
      <c r="J17" t="str">
        <f>[1]!PAGE.2.73.10</f>
        <v/>
      </c>
      <c r="K17" t="str">
        <f>[1]!PAGE.2.73.7</f>
        <v>11:29:15</v>
      </c>
    </row>
    <row r="18" spans="1:11" hidden="1">
      <c r="A18" t="str">
        <f>[1]!PAGE.2.78.1</f>
        <v>15/12</v>
      </c>
      <c r="B18" t="str">
        <f>[1]!PAGE.2.78.2</f>
        <v>TRT031029T10</v>
      </c>
      <c r="C18" t="str">
        <f>[1]!PAGE.2.78.11</f>
        <v>TRT031029T10_KESN_T0</v>
      </c>
      <c r="D18" t="str">
        <f>[1]!PAGE.2.78.3</f>
        <v/>
      </c>
      <c r="E18" t="str">
        <f>[1]!PAGE.2.78.4</f>
        <v/>
      </c>
      <c r="F18" t="str">
        <f>[1]!PAGE.2.78.5</f>
        <v/>
      </c>
      <c r="G18" s="4" t="str">
        <f>[1]!PAGE.2.78.6</f>
        <v/>
      </c>
      <c r="H18" s="4" t="str">
        <f>[1]!PAGE.2.78.8</f>
        <v/>
      </c>
      <c r="I18">
        <f>[1]!PAGE.2.78.9</f>
        <v>6.9905494509999997</v>
      </c>
      <c r="J18" t="str">
        <f>[1]!PAGE.2.78.10</f>
        <v/>
      </c>
      <c r="K18" t="str">
        <f>[1]!PAGE.2.78.7</f>
        <v>12:29:56</v>
      </c>
    </row>
    <row r="19" spans="1:11" hidden="1">
      <c r="A19" t="str">
        <f>[1]!PAGE.2.112.1</f>
        <v>15/12</v>
      </c>
      <c r="B19" t="str">
        <f>[1]!PAGE.2.112.2</f>
        <v>TRT130928T12</v>
      </c>
      <c r="C19" t="str">
        <f>[1]!PAGE.2.112.11</f>
        <v>TRT130928T12_KESN_T0</v>
      </c>
      <c r="D19" t="str">
        <f>[1]!PAGE.2.112.3</f>
        <v/>
      </c>
      <c r="E19" t="str">
        <f>[1]!PAGE.2.112.4</f>
        <v/>
      </c>
      <c r="F19" t="str">
        <f>[1]!PAGE.2.112.5</f>
        <v/>
      </c>
      <c r="G19" s="4" t="str">
        <f>[1]!PAGE.2.112.6</f>
        <v/>
      </c>
      <c r="H19" s="4" t="str">
        <f>[1]!PAGE.2.112.8</f>
        <v/>
      </c>
      <c r="I19">
        <f>[1]!PAGE.2.112.9</f>
        <v>9.261868132</v>
      </c>
      <c r="J19" t="str">
        <f>[1]!PAGE.2.112.10</f>
        <v/>
      </c>
      <c r="K19" t="str">
        <f>[1]!PAGE.2.112.7</f>
        <v>10:49:38</v>
      </c>
    </row>
    <row r="20" spans="1:11" hidden="1">
      <c r="A20" t="str">
        <f>[1]!PAGE.2.147.1</f>
        <v>15/12</v>
      </c>
      <c r="B20" t="str">
        <f>[1]!PAGE.2.147.2</f>
        <v>TRT131130T14</v>
      </c>
      <c r="C20" t="str">
        <f>[1]!PAGE.2.147.11</f>
        <v>TRT131130T14_KESN_T0</v>
      </c>
      <c r="D20" t="str">
        <f>[1]!PAGE.2.147.3</f>
        <v/>
      </c>
      <c r="E20" t="str">
        <f>[1]!PAGE.2.147.4</f>
        <v/>
      </c>
      <c r="F20" t="str">
        <f>[1]!PAGE.2.147.5</f>
        <v/>
      </c>
      <c r="G20" s="4" t="str">
        <f>[1]!PAGE.2.147.6</f>
        <v/>
      </c>
      <c r="H20" s="4" t="str">
        <f>[1]!PAGE.2.147.8</f>
        <v/>
      </c>
      <c r="I20">
        <f>[1]!PAGE.2.147.9</f>
        <v>0.83571428599999997</v>
      </c>
      <c r="J20" t="str">
        <f>[1]!PAGE.2.147.10</f>
        <v/>
      </c>
      <c r="K20" t="str">
        <f>[1]!PAGE.2.147.7</f>
        <v>13:50:21</v>
      </c>
    </row>
    <row r="21" spans="1:11" hidden="1">
      <c r="A21" t="str">
        <f>[1]!PAGE.2.148.1</f>
        <v>15/12</v>
      </c>
      <c r="B21" t="str">
        <f>[1]!PAGE.2.148.2</f>
        <v>TRT090627T12</v>
      </c>
      <c r="C21" t="str">
        <f>[1]!PAGE.2.148.11</f>
        <v>TRT090627T12_KESN_T0</v>
      </c>
      <c r="D21" t="str">
        <f>[1]!PAGE.2.148.3</f>
        <v/>
      </c>
      <c r="E21" t="str">
        <f>[1]!PAGE.2.148.4</f>
        <v/>
      </c>
      <c r="F21" t="str">
        <f>[1]!PAGE.2.148.5</f>
        <v/>
      </c>
      <c r="G21" s="4" t="str">
        <f>[1]!PAGE.2.148.6</f>
        <v/>
      </c>
      <c r="H21" s="4" t="str">
        <f>[1]!PAGE.2.148.8</f>
        <v/>
      </c>
      <c r="I21">
        <f>[1]!PAGE.2.148.9</f>
        <v>0.27747252700000002</v>
      </c>
      <c r="J21" t="str">
        <f>[1]!PAGE.2.148.10</f>
        <v/>
      </c>
      <c r="K21" t="str">
        <f>[1]!PAGE.2.148.7</f>
        <v>13:55:42</v>
      </c>
    </row>
    <row r="22" spans="1:11" hidden="1">
      <c r="A22" t="str">
        <f>[1]!PAGE.2.159.1</f>
        <v>15/12</v>
      </c>
      <c r="B22" t="str">
        <f>[1]!PAGE.2.159.2</f>
        <v>TRT100332T15</v>
      </c>
      <c r="C22" t="str">
        <f>[1]!PAGE.2.159.11</f>
        <v>TRT100332T15_KESN_T0</v>
      </c>
      <c r="D22" t="str">
        <f>[1]!PAGE.2.159.3</f>
        <v/>
      </c>
      <c r="E22" t="str">
        <f>[1]!PAGE.2.159.4</f>
        <v/>
      </c>
      <c r="F22" t="str">
        <f>[1]!PAGE.2.159.5</f>
        <v/>
      </c>
      <c r="G22" s="4" t="str">
        <f>[1]!PAGE.2.159.6</f>
        <v/>
      </c>
      <c r="H22" s="4" t="str">
        <f>[1]!PAGE.2.159.8</f>
        <v/>
      </c>
      <c r="I22">
        <f>[1]!PAGE.2.159.9</f>
        <v>9.261868132</v>
      </c>
      <c r="J22" t="str">
        <f>[1]!PAGE.2.159.10</f>
        <v/>
      </c>
      <c r="K22" t="str">
        <f>[1]!PAGE.2.159.7</f>
        <v>14:17:18</v>
      </c>
    </row>
    <row r="23" spans="1:11" hidden="1">
      <c r="A23" t="str">
        <f>[1]!PAGE.2.28.1</f>
        <v>15/12</v>
      </c>
      <c r="B23" t="str">
        <f>[1]!PAGE.2.28.2</f>
        <v>TRSSKBKA2716</v>
      </c>
      <c r="C23" t="str">
        <f>[1]!PAGE.2.28.11</f>
        <v>TRSSKBKA2716_KESN_T0</v>
      </c>
      <c r="D23" t="str">
        <f>[1]!PAGE.2.28.3</f>
        <v/>
      </c>
      <c r="E23" t="str">
        <f>[1]!PAGE.2.28.4</f>
        <v/>
      </c>
      <c r="F23" t="str">
        <f>[1]!PAGE.2.28.5</f>
        <v/>
      </c>
      <c r="G23" t="str">
        <f>[1]!PAGE.2.28.6</f>
        <v/>
      </c>
      <c r="H23" t="str">
        <f>[1]!PAGE.2.28.8</f>
        <v/>
      </c>
      <c r="I23">
        <f>[1]!PAGE.2.28.9</f>
        <v>0.285483871</v>
      </c>
      <c r="J23" t="str">
        <f>[1]!PAGE.2.28.10</f>
        <v/>
      </c>
      <c r="K23" t="str">
        <f>[1]!PAGE.2.28.7</f>
        <v>09:47:22</v>
      </c>
    </row>
    <row r="24" spans="1:11">
      <c r="A24" t="str">
        <f>[1]!PAGE.2.41.1</f>
        <v>15/12</v>
      </c>
      <c r="B24" t="str">
        <f>[1]!PAGE.2.41.2</f>
        <v>TRB110326T12</v>
      </c>
      <c r="C24" t="str">
        <f>[1]!PAGE.2.41.11</f>
        <v>TRB110326T12_KESN_T0</v>
      </c>
      <c r="D24">
        <f>[1]!PAGE.2.41.3</f>
        <v>92.617999999999995</v>
      </c>
      <c r="E24">
        <f>[1]!PAGE.2.41.4</f>
        <v>33.83</v>
      </c>
      <c r="F24">
        <f>[1]!PAGE.2.41.5</f>
        <v>38.47</v>
      </c>
      <c r="G24" s="4">
        <f>[1]!PAGE.2.41.6</f>
        <v>48000000</v>
      </c>
      <c r="H24" s="5">
        <f>[1]!PAGE.2.41.8</f>
        <v>44456300.539999999</v>
      </c>
      <c r="I24" t="str">
        <f>[1]!PAGE.2.41.9</f>
        <v/>
      </c>
      <c r="J24">
        <f>[1]!PAGE.2.41.10</f>
        <v>92.617999999999995</v>
      </c>
      <c r="K24" t="str">
        <f>[1]!PAGE.2.41.7</f>
        <v>13:41:34</v>
      </c>
    </row>
    <row r="25" spans="1:11" hidden="1">
      <c r="A25" t="str">
        <f>[1]!PAGE.2.42.1</f>
        <v>15/12</v>
      </c>
      <c r="B25" t="str">
        <f>[1]!PAGE.2.42.2</f>
        <v>TRSSKBK52818</v>
      </c>
      <c r="C25" t="str">
        <f>[1]!PAGE.2.42.11</f>
        <v>TRSSKBK52818_KESN_T0</v>
      </c>
      <c r="D25" t="str">
        <f>[1]!PAGE.2.42.3</f>
        <v/>
      </c>
      <c r="E25" t="str">
        <f>[1]!PAGE.2.42.4</f>
        <v/>
      </c>
      <c r="F25" t="str">
        <f>[1]!PAGE.2.42.5</f>
        <v/>
      </c>
      <c r="G25" t="str">
        <f>[1]!PAGE.2.42.6</f>
        <v/>
      </c>
      <c r="H25" t="str">
        <f>[1]!PAGE.2.42.8</f>
        <v/>
      </c>
      <c r="I25">
        <f>[1]!PAGE.2.42.9</f>
        <v>0.285483871</v>
      </c>
      <c r="J25" t="str">
        <f>[1]!PAGE.2.42.10</f>
        <v/>
      </c>
      <c r="K25" t="str">
        <f>[1]!PAGE.2.42.7</f>
        <v>09:45:41</v>
      </c>
    </row>
    <row r="26" spans="1:11">
      <c r="A26" t="str">
        <f>[1]!PAGE.2.1.1</f>
        <v>15/12</v>
      </c>
      <c r="B26" t="str">
        <f>[1]!PAGE.2.1.2</f>
        <v>TRT180226T16</v>
      </c>
      <c r="C26" t="str">
        <f>[1]!PAGE.2.1.11</f>
        <v>TRT180226T16_KESN_T0</v>
      </c>
      <c r="D26">
        <f>[1]!PAGE.2.1.3</f>
        <v>99.99</v>
      </c>
      <c r="E26">
        <f>[1]!PAGE.2.1.4</f>
        <v>33.21</v>
      </c>
      <c r="F26">
        <f>[1]!PAGE.2.1.5</f>
        <v>38.08</v>
      </c>
      <c r="G26" s="4">
        <f>[1]!PAGE.2.1.6</f>
        <v>815000000</v>
      </c>
      <c r="H26" s="5">
        <f>[1]!PAGE.2.1.8</f>
        <v>911846585.70000005</v>
      </c>
      <c r="I26">
        <f>[1]!PAGE.2.1.9</f>
        <v>11.892857143000001</v>
      </c>
      <c r="J26">
        <f>[1]!PAGE.2.1.10</f>
        <v>111.883</v>
      </c>
      <c r="K26" t="str">
        <f>[1]!PAGE.2.1.7</f>
        <v>12:37:24</v>
      </c>
    </row>
    <row r="27" spans="1:11" hidden="1">
      <c r="A27" t="str">
        <f>[1]!PAGE.2.45.1</f>
        <v>15/12</v>
      </c>
      <c r="B27" t="str">
        <f>[1]!PAGE.2.45.2</f>
        <v>TRD020828T14</v>
      </c>
      <c r="C27" t="str">
        <f>[1]!PAGE.2.45.11</f>
        <v>TRD020828T14_KESN_T0</v>
      </c>
      <c r="D27">
        <f>[1]!PAGE.2.45.3</f>
        <v>76.400000000000006</v>
      </c>
      <c r="E27">
        <f>[1]!PAGE.2.45.4</f>
        <v>33.67</v>
      </c>
      <c r="F27">
        <f>[1]!PAGE.2.45.5</f>
        <v>36.5</v>
      </c>
      <c r="G27">
        <f>[1]!PAGE.2.45.6</f>
        <v>150000</v>
      </c>
      <c r="H27">
        <f>[1]!PAGE.2.45.8</f>
        <v>125169.97</v>
      </c>
      <c r="I27">
        <f>[1]!PAGE.2.45.9</f>
        <v>7.0466483520000001</v>
      </c>
      <c r="J27">
        <f>[1]!PAGE.2.45.10</f>
        <v>83.447000000000003</v>
      </c>
      <c r="K27" t="str">
        <f>[1]!PAGE.2.45.7</f>
        <v>11:39:23</v>
      </c>
    </row>
    <row r="28" spans="1:11" hidden="1">
      <c r="A28" t="str">
        <f>[1]!PAGE.2.46.1</f>
        <v>15/12</v>
      </c>
      <c r="B28" t="str">
        <f>[1]!PAGE.2.46.2</f>
        <v>TRD080927T18</v>
      </c>
      <c r="C28" t="str">
        <f>[1]!PAGE.2.46.11</f>
        <v>TRD080927T18_KESN_T0</v>
      </c>
      <c r="D28">
        <f>[1]!PAGE.2.46.3</f>
        <v>69</v>
      </c>
      <c r="E28">
        <f>[1]!PAGE.2.46.4</f>
        <v>35.51</v>
      </c>
      <c r="F28">
        <f>[1]!PAGE.2.46.5</f>
        <v>38.659999999999997</v>
      </c>
      <c r="G28">
        <f>[1]!PAGE.2.46.6</f>
        <v>200000</v>
      </c>
      <c r="H28">
        <f>[1]!PAGE.2.46.8</f>
        <v>143369.67000000001</v>
      </c>
      <c r="I28">
        <f>[1]!PAGE.2.46.9</f>
        <v>2.684835165</v>
      </c>
      <c r="J28">
        <f>[1]!PAGE.2.46.10</f>
        <v>71.685000000000002</v>
      </c>
      <c r="K28" t="str">
        <f>[1]!PAGE.2.46.7</f>
        <v>10:02:00</v>
      </c>
    </row>
    <row r="29" spans="1:11" hidden="1">
      <c r="A29" t="str">
        <f>[1]!PAGE.2.47.1</f>
        <v>15/12</v>
      </c>
      <c r="B29" t="str">
        <f>[1]!PAGE.2.47.2</f>
        <v>TRD170730T14</v>
      </c>
      <c r="C29" t="str">
        <f>[1]!PAGE.2.47.11</f>
        <v>TRD170730T14_KESN_T0</v>
      </c>
      <c r="D29" t="str">
        <f>[1]!PAGE.2.47.3</f>
        <v/>
      </c>
      <c r="E29" t="str">
        <f>[1]!PAGE.2.47.4</f>
        <v/>
      </c>
      <c r="F29" t="str">
        <f>[1]!PAGE.2.47.5</f>
        <v/>
      </c>
      <c r="G29" t="str">
        <f>[1]!PAGE.2.47.6</f>
        <v/>
      </c>
      <c r="H29" t="str">
        <f>[1]!PAGE.2.47.8</f>
        <v/>
      </c>
      <c r="I29">
        <f>[1]!PAGE.2.47.9</f>
        <v>13.289010988999999</v>
      </c>
      <c r="J29" t="str">
        <f>[1]!PAGE.2.47.10</f>
        <v/>
      </c>
      <c r="K29" t="str">
        <f>[1]!PAGE.2.47.7</f>
        <v>09:50:16</v>
      </c>
    </row>
    <row r="30" spans="1:11" hidden="1">
      <c r="A30" t="str">
        <f>[1]!PAGE.2.48.1</f>
        <v>15/12</v>
      </c>
      <c r="B30" t="str">
        <f>[1]!PAGE.2.48.2</f>
        <v>TRD171127T13</v>
      </c>
      <c r="C30" t="str">
        <f>[1]!PAGE.2.48.11</f>
        <v>TRD171127T13_KESN_T0</v>
      </c>
      <c r="D30" t="str">
        <f>[1]!PAGE.2.48.3</f>
        <v/>
      </c>
      <c r="E30" t="str">
        <f>[1]!PAGE.2.48.4</f>
        <v/>
      </c>
      <c r="F30" t="str">
        <f>[1]!PAGE.2.48.5</f>
        <v/>
      </c>
      <c r="G30" t="str">
        <f>[1]!PAGE.2.48.6</f>
        <v/>
      </c>
      <c r="H30" t="str">
        <f>[1]!PAGE.2.48.8</f>
        <v/>
      </c>
      <c r="I30">
        <f>[1]!PAGE.2.48.9</f>
        <v>2.7142857139999998</v>
      </c>
      <c r="J30" t="str">
        <f>[1]!PAGE.2.48.10</f>
        <v/>
      </c>
      <c r="K30" t="str">
        <f>[1]!PAGE.2.48.7</f>
        <v>09:51:21</v>
      </c>
    </row>
    <row r="31" spans="1:11">
      <c r="A31" t="str">
        <f>[1]!PAGE.2.19.1</f>
        <v>15/12</v>
      </c>
      <c r="B31" t="str">
        <f>[1]!PAGE.2.19.2</f>
        <v>TRT080426T16</v>
      </c>
      <c r="C31" t="str">
        <f>[1]!PAGE.2.19.11</f>
        <v>TRT080426T16_KESN_T0</v>
      </c>
      <c r="D31">
        <f>[1]!PAGE.2.19.3</f>
        <v>100.753</v>
      </c>
      <c r="E31" t="str">
        <f>[1]!PAGE.2.19.4</f>
        <v/>
      </c>
      <c r="F31" t="str">
        <f>[1]!PAGE.2.19.5</f>
        <v/>
      </c>
      <c r="G31" s="4">
        <f>[1]!PAGE.2.19.6</f>
        <v>519000000</v>
      </c>
      <c r="H31" s="5">
        <f>[1]!PAGE.2.19.8</f>
        <v>562535728.27999997</v>
      </c>
      <c r="I31">
        <f>[1]!PAGE.2.19.9</f>
        <v>7.6350150890000004</v>
      </c>
      <c r="J31">
        <f>[1]!PAGE.2.19.10</f>
        <v>108.38800000000001</v>
      </c>
      <c r="K31" t="str">
        <f>[1]!PAGE.2.19.7</f>
        <v>13:44:01</v>
      </c>
    </row>
    <row r="32" spans="1:11">
      <c r="A32" t="str">
        <f>[1]!PAGE.2.20.1</f>
        <v>15/12</v>
      </c>
      <c r="B32" t="str">
        <f>[1]!PAGE.2.20.2</f>
        <v>TRT130629T30</v>
      </c>
      <c r="C32" t="str">
        <f>[1]!PAGE.2.20.11</f>
        <v>TRT130629T30_KESN_T0</v>
      </c>
      <c r="D32">
        <f>[1]!PAGE.2.20.3</f>
        <v>99.507999999999996</v>
      </c>
      <c r="E32" t="str">
        <f>[1]!PAGE.2.20.4</f>
        <v/>
      </c>
      <c r="F32" t="str">
        <f>[1]!PAGE.2.20.5</f>
        <v/>
      </c>
      <c r="G32" s="4">
        <f>[1]!PAGE.2.20.6</f>
        <v>339000000</v>
      </c>
      <c r="H32" s="5">
        <f>[1]!PAGE.2.20.8</f>
        <v>371744573.19</v>
      </c>
      <c r="I32">
        <f>[1]!PAGE.2.20.9</f>
        <v>10.15105404</v>
      </c>
      <c r="J32">
        <f>[1]!PAGE.2.20.10</f>
        <v>109.65900000000001</v>
      </c>
      <c r="K32" t="str">
        <f>[1]!PAGE.2.20.7</f>
        <v>13:30:44</v>
      </c>
    </row>
    <row r="33" spans="1:11">
      <c r="A33" t="str">
        <f>[1]!PAGE.2.51.1</f>
        <v>15/12</v>
      </c>
      <c r="B33" t="str">
        <f>[1]!PAGE.2.51.2</f>
        <v>TRT131027T36</v>
      </c>
      <c r="C33" t="str">
        <f>[1]!PAGE.2.51.11</f>
        <v>TRT131027T36_KESN_T0</v>
      </c>
      <c r="D33">
        <f>[1]!PAGE.2.51.3</f>
        <v>102.008</v>
      </c>
      <c r="E33">
        <f>[1]!PAGE.2.51.4</f>
        <v>34.950000000000003</v>
      </c>
      <c r="F33">
        <f>[1]!PAGE.2.51.5</f>
        <v>38.01</v>
      </c>
      <c r="G33" s="4">
        <f>[1]!PAGE.2.51.6</f>
        <v>331000000</v>
      </c>
      <c r="H33" s="5">
        <f>[1]!PAGE.2.51.8</f>
        <v>358049355.13</v>
      </c>
      <c r="I33">
        <f>[1]!PAGE.2.51.9</f>
        <v>6.1636813190000002</v>
      </c>
      <c r="J33">
        <f>[1]!PAGE.2.51.10</f>
        <v>108.172</v>
      </c>
      <c r="K33" t="str">
        <f>[1]!PAGE.2.51.7</f>
        <v>13:47:30</v>
      </c>
    </row>
    <row r="34" spans="1:11">
      <c r="A34" t="str">
        <f>[1]!PAGE.2.22.1</f>
        <v>15/12</v>
      </c>
      <c r="B34" t="str">
        <f>[1]!PAGE.2.22.2</f>
        <v>TRT040729T14</v>
      </c>
      <c r="C34" t="str">
        <f>[1]!PAGE.2.22.11</f>
        <v>TRT040729T14_KESN_T0</v>
      </c>
      <c r="D34">
        <f>[1]!PAGE.2.22.3</f>
        <v>99.358999999999995</v>
      </c>
      <c r="E34" t="str">
        <f>[1]!PAGE.2.22.4</f>
        <v/>
      </c>
      <c r="F34" t="str">
        <f>[1]!PAGE.2.22.5</f>
        <v/>
      </c>
      <c r="G34" s="4">
        <f>[1]!PAGE.2.22.6</f>
        <v>169000000</v>
      </c>
      <c r="H34" s="5">
        <f>[1]!PAGE.2.22.8</f>
        <v>201874107.16999999</v>
      </c>
      <c r="I34">
        <f>[1]!PAGE.2.22.9</f>
        <v>20.093406593000001</v>
      </c>
      <c r="J34">
        <f>[1]!PAGE.2.22.10</f>
        <v>119.452</v>
      </c>
      <c r="K34" t="str">
        <f>[1]!PAGE.2.22.7</f>
        <v>13:59:57</v>
      </c>
    </row>
    <row r="35" spans="1:11" hidden="1">
      <c r="A35" t="str">
        <f>[1]!PAGE.2.53.1</f>
        <v>15/12</v>
      </c>
      <c r="B35" t="str">
        <f>[1]!PAGE.2.53.2</f>
        <v>TRD070427T14</v>
      </c>
      <c r="C35" t="str">
        <f>[1]!PAGE.2.53.11</f>
        <v>TRD070427T14_KESN_T0</v>
      </c>
      <c r="D35" t="str">
        <f>[1]!PAGE.2.53.3</f>
        <v/>
      </c>
      <c r="E35" t="str">
        <f>[1]!PAGE.2.53.4</f>
        <v/>
      </c>
      <c r="F35" t="str">
        <f>[1]!PAGE.2.53.5</f>
        <v/>
      </c>
      <c r="G35" t="str">
        <f>[1]!PAGE.2.53.6</f>
        <v/>
      </c>
      <c r="H35" t="str">
        <f>[1]!PAGE.2.53.8</f>
        <v/>
      </c>
      <c r="I35">
        <f>[1]!PAGE.2.53.9</f>
        <v>7.9619780220000003</v>
      </c>
      <c r="J35" t="str">
        <f>[1]!PAGE.2.53.10</f>
        <v/>
      </c>
      <c r="K35" t="str">
        <f>[1]!PAGE.2.53.7</f>
        <v>09:52:40</v>
      </c>
    </row>
    <row r="36" spans="1:11">
      <c r="A36" t="str">
        <f>[1]!PAGE.2.84.1</f>
        <v>15/12</v>
      </c>
      <c r="B36" t="str">
        <f>[1]!PAGE.2.84.2</f>
        <v>TRT051033T12</v>
      </c>
      <c r="C36" t="str">
        <f>[1]!PAGE.2.84.11</f>
        <v>TRT051033T12_KESN_T0</v>
      </c>
      <c r="D36">
        <f>[1]!PAGE.2.84.3</f>
        <v>92.247</v>
      </c>
      <c r="E36">
        <f>[1]!PAGE.2.84.4</f>
        <v>28.67</v>
      </c>
      <c r="F36">
        <f>[1]!PAGE.2.84.5</f>
        <v>30.72</v>
      </c>
      <c r="G36" s="4">
        <f>[1]!PAGE.2.84.6</f>
        <v>175000000</v>
      </c>
      <c r="H36" s="5">
        <f>[1]!PAGE.2.84.8</f>
        <v>169116153.83000001</v>
      </c>
      <c r="I36">
        <f>[1]!PAGE.2.84.9</f>
        <v>4.3906593410000001</v>
      </c>
      <c r="J36">
        <f>[1]!PAGE.2.84.10</f>
        <v>96.638000000000005</v>
      </c>
      <c r="K36" t="str">
        <f>[1]!PAGE.2.84.7</f>
        <v>13:08:37</v>
      </c>
    </row>
    <row r="37" spans="1:11">
      <c r="A37" t="str">
        <f>[1]!PAGE.2.49.1</f>
        <v>15/12</v>
      </c>
      <c r="B37" t="str">
        <f>[1]!PAGE.2.49.2</f>
        <v>TRT060928T11</v>
      </c>
      <c r="C37" t="str">
        <f>[1]!PAGE.2.49.11</f>
        <v>TRT060928T11_KESN_T0</v>
      </c>
      <c r="D37">
        <f>[1]!PAGE.2.49.3</f>
        <v>99.619</v>
      </c>
      <c r="E37" t="str">
        <f>[1]!PAGE.2.49.4</f>
        <v/>
      </c>
      <c r="F37" t="str">
        <f>[1]!PAGE.2.49.5</f>
        <v/>
      </c>
      <c r="G37" s="4">
        <f>[1]!PAGE.2.49.6</f>
        <v>164000000</v>
      </c>
      <c r="H37" s="5">
        <f>[1]!PAGE.2.49.8</f>
        <v>164261040.5</v>
      </c>
      <c r="I37">
        <f>[1]!PAGE.2.49.9</f>
        <v>0.53996370100000002</v>
      </c>
      <c r="J37">
        <f>[1]!PAGE.2.49.10</f>
        <v>100.15900000000001</v>
      </c>
      <c r="K37" t="str">
        <f>[1]!PAGE.2.49.7</f>
        <v>13:55:44</v>
      </c>
    </row>
    <row r="38" spans="1:11">
      <c r="A38" t="str">
        <f>[1]!PAGE.2.21.1</f>
        <v>15/12</v>
      </c>
      <c r="B38" t="str">
        <f>[1]!PAGE.2.21.2</f>
        <v>TRT070329T15</v>
      </c>
      <c r="C38" t="str">
        <f>[1]!PAGE.2.21.11</f>
        <v>TRT070329T15_KESN_T0</v>
      </c>
      <c r="D38">
        <f>[1]!PAGE.2.21.3</f>
        <v>99.5</v>
      </c>
      <c r="E38" t="str">
        <f>[1]!PAGE.2.21.4</f>
        <v/>
      </c>
      <c r="F38" t="str">
        <f>[1]!PAGE.2.21.5</f>
        <v/>
      </c>
      <c r="G38" s="4">
        <f>[1]!PAGE.2.21.6</f>
        <v>135000000</v>
      </c>
      <c r="H38" s="5">
        <f>[1]!PAGE.2.21.8</f>
        <v>135054201.02000001</v>
      </c>
      <c r="I38">
        <f>[1]!PAGE.2.21.9</f>
        <v>0.53996370100000002</v>
      </c>
      <c r="J38">
        <f>[1]!PAGE.2.21.10</f>
        <v>100.04</v>
      </c>
      <c r="K38" t="str">
        <f>[1]!PAGE.2.21.7</f>
        <v>12:30:12</v>
      </c>
    </row>
    <row r="39" spans="1:11">
      <c r="A39" t="str">
        <f>[1]!PAGE.2.43.1</f>
        <v>15/12</v>
      </c>
      <c r="B39" t="str">
        <f>[1]!PAGE.2.43.2</f>
        <v>TRT061228T16</v>
      </c>
      <c r="C39" t="str">
        <f>[1]!PAGE.2.43.11</f>
        <v>TRT061228T16_KESN_T0</v>
      </c>
      <c r="D39">
        <f>[1]!PAGE.2.43.3</f>
        <v>99.65</v>
      </c>
      <c r="E39" t="str">
        <f>[1]!PAGE.2.43.4</f>
        <v/>
      </c>
      <c r="F39" t="str">
        <f>[1]!PAGE.2.43.5</f>
        <v/>
      </c>
      <c r="G39" s="4">
        <f>[1]!PAGE.2.43.6</f>
        <v>91000000</v>
      </c>
      <c r="H39" s="5">
        <f>[1]!PAGE.2.43.8</f>
        <v>91172866.969999999</v>
      </c>
      <c r="I39">
        <f>[1]!PAGE.2.43.9</f>
        <v>0.53996370100000002</v>
      </c>
      <c r="J39">
        <f>[1]!PAGE.2.43.10</f>
        <v>100.19</v>
      </c>
      <c r="K39" t="str">
        <f>[1]!PAGE.2.43.7</f>
        <v>13:38:14</v>
      </c>
    </row>
    <row r="40" spans="1:11">
      <c r="A40" t="str">
        <f>[1]!PAGE.2.24.1</f>
        <v>15/12</v>
      </c>
      <c r="B40" t="str">
        <f>[1]!PAGE.2.24.2</f>
        <v>TRT140727T14</v>
      </c>
      <c r="C40" t="str">
        <f>[1]!PAGE.2.24.11</f>
        <v>TRT140727T14_KESN_T0</v>
      </c>
      <c r="D40">
        <f>[1]!PAGE.2.24.3</f>
        <v>102.7</v>
      </c>
      <c r="E40">
        <f>[1]!PAGE.2.24.4</f>
        <v>35.28</v>
      </c>
      <c r="F40">
        <f>[1]!PAGE.2.24.5</f>
        <v>38.39</v>
      </c>
      <c r="G40" s="4">
        <f>[1]!PAGE.2.24.6</f>
        <v>57000000</v>
      </c>
      <c r="H40" s="5">
        <f>[1]!PAGE.2.24.8</f>
        <v>67545751.659999996</v>
      </c>
      <c r="I40">
        <f>[1]!PAGE.2.24.9</f>
        <v>15.801318681</v>
      </c>
      <c r="J40">
        <f>[1]!PAGE.2.24.10</f>
        <v>118.501</v>
      </c>
      <c r="K40" t="str">
        <f>[1]!PAGE.2.24.7</f>
        <v>13:47:12</v>
      </c>
    </row>
    <row r="41" spans="1:11">
      <c r="A41" t="str">
        <f>[1]!PAGE.2.23.1</f>
        <v>15/12</v>
      </c>
      <c r="B41" t="str">
        <f>[1]!PAGE.2.23.2</f>
        <v>TRT170528T12</v>
      </c>
      <c r="C41" t="str">
        <f>[1]!PAGE.2.23.11</f>
        <v>TRT170528T12_KESN_T0</v>
      </c>
      <c r="D41">
        <f>[1]!PAGE.2.23.3</f>
        <v>99.721999999999994</v>
      </c>
      <c r="E41" t="str">
        <f>[1]!PAGE.2.23.4</f>
        <v/>
      </c>
      <c r="F41" t="str">
        <f>[1]!PAGE.2.23.5</f>
        <v/>
      </c>
      <c r="G41" s="4">
        <f>[1]!PAGE.2.23.6</f>
        <v>47000000</v>
      </c>
      <c r="H41" s="5">
        <f>[1]!PAGE.2.23.8</f>
        <v>48204204.850000001</v>
      </c>
      <c r="I41">
        <f>[1]!PAGE.2.23.9</f>
        <v>2.8397975340000001</v>
      </c>
      <c r="J41">
        <f>[1]!PAGE.2.23.10</f>
        <v>102.562</v>
      </c>
      <c r="K41" t="str">
        <f>[1]!PAGE.2.23.7</f>
        <v>13:37:58</v>
      </c>
    </row>
    <row r="42" spans="1:11">
      <c r="A42" t="str">
        <f>[1]!PAGE.2.59.1</f>
        <v>15/12</v>
      </c>
      <c r="B42" t="str">
        <f>[1]!PAGE.2.59.2</f>
        <v>TRT081128T15</v>
      </c>
      <c r="C42" t="str">
        <f>[1]!PAGE.2.59.11</f>
        <v>TRT081128T15_KESN_T0</v>
      </c>
      <c r="D42">
        <f>[1]!PAGE.2.59.3</f>
        <v>96.45</v>
      </c>
      <c r="E42">
        <f>[1]!PAGE.2.59.4</f>
        <v>32.97</v>
      </c>
      <c r="F42">
        <f>[1]!PAGE.2.59.5</f>
        <v>35.69</v>
      </c>
      <c r="G42" s="4">
        <f>[1]!PAGE.2.59.6</f>
        <v>46000000</v>
      </c>
      <c r="H42" s="5">
        <f>[1]!PAGE.2.59.8</f>
        <v>45663138.469999999</v>
      </c>
      <c r="I42">
        <f>[1]!PAGE.2.59.9</f>
        <v>2.8176923079999998</v>
      </c>
      <c r="J42">
        <f>[1]!PAGE.2.59.10</f>
        <v>99.268000000000001</v>
      </c>
      <c r="K42" t="str">
        <f>[1]!PAGE.2.59.7</f>
        <v>13:32:14</v>
      </c>
    </row>
    <row r="43" spans="1:11" hidden="1">
      <c r="A43" t="str">
        <f>[1]!PAGE.2.61.1</f>
        <v>15/12</v>
      </c>
      <c r="B43" t="str">
        <f>[1]!PAGE.2.61.2</f>
        <v>TRD170129T13</v>
      </c>
      <c r="C43" t="str">
        <f>[1]!PAGE.2.61.11</f>
        <v>TRD170129T13_KESN_T0</v>
      </c>
      <c r="D43" t="str">
        <f>[1]!PAGE.2.61.3</f>
        <v/>
      </c>
      <c r="E43" t="str">
        <f>[1]!PAGE.2.61.4</f>
        <v/>
      </c>
      <c r="F43" t="str">
        <f>[1]!PAGE.2.61.5</f>
        <v/>
      </c>
      <c r="G43" t="str">
        <f>[1]!PAGE.2.61.6</f>
        <v/>
      </c>
      <c r="H43" t="str">
        <f>[1]!PAGE.2.61.8</f>
        <v/>
      </c>
      <c r="I43">
        <f>[1]!PAGE.2.61.9</f>
        <v>11.424725275</v>
      </c>
      <c r="J43" t="str">
        <f>[1]!PAGE.2.61.10</f>
        <v/>
      </c>
      <c r="K43" t="str">
        <f>[1]!PAGE.2.61.7</f>
        <v>10:02:24</v>
      </c>
    </row>
    <row r="44" spans="1:11">
      <c r="A44" t="str">
        <f>[1]!PAGE.2.12.1</f>
        <v>15/12</v>
      </c>
      <c r="B44" t="str">
        <f>[1]!PAGE.2.12.2</f>
        <v>TRT021030T18</v>
      </c>
      <c r="C44" t="str">
        <f>[1]!PAGE.2.12.11</f>
        <v>TRT021030T18_KESN_T0</v>
      </c>
      <c r="D44">
        <f>[1]!PAGE.2.12.3</f>
        <v>104.248</v>
      </c>
      <c r="E44">
        <f>[1]!PAGE.2.12.4</f>
        <v>31.99</v>
      </c>
      <c r="F44">
        <f>[1]!PAGE.2.12.5</f>
        <v>34.549999999999997</v>
      </c>
      <c r="G44" s="4">
        <f>[1]!PAGE.2.12.6</f>
        <v>34000000</v>
      </c>
      <c r="H44" s="5">
        <f>[1]!PAGE.2.12.8</f>
        <v>37597458.780000001</v>
      </c>
      <c r="I44">
        <f>[1]!PAGE.2.12.9</f>
        <v>6.3329670330000001</v>
      </c>
      <c r="J44">
        <f>[1]!PAGE.2.12.10</f>
        <v>110.581</v>
      </c>
      <c r="K44" t="str">
        <f>[1]!PAGE.2.12.7</f>
        <v>13:30:10</v>
      </c>
    </row>
    <row r="45" spans="1:11" hidden="1">
      <c r="A45" t="str">
        <f>[1]!PAGE.2.63.1</f>
        <v>15/12</v>
      </c>
      <c r="B45" t="str">
        <f>[1]!PAGE.2.63.2</f>
        <v>TRSSMAR82610</v>
      </c>
      <c r="C45" t="str">
        <f>[1]!PAGE.2.63.11</f>
        <v>TRSSMAR82610_KESN_T0</v>
      </c>
      <c r="D45" t="str">
        <f>[1]!PAGE.2.63.3</f>
        <v/>
      </c>
      <c r="E45" t="str">
        <f>[1]!PAGE.2.63.4</f>
        <v/>
      </c>
      <c r="F45" t="str">
        <f>[1]!PAGE.2.63.5</f>
        <v/>
      </c>
      <c r="G45" t="str">
        <f>[1]!PAGE.2.63.6</f>
        <v/>
      </c>
      <c r="H45" t="str">
        <f>[1]!PAGE.2.63.8</f>
        <v/>
      </c>
      <c r="I45" t="str">
        <f>[1]!PAGE.2.63.9</f>
        <v/>
      </c>
      <c r="J45" t="str">
        <f>[1]!PAGE.2.63.10</f>
        <v/>
      </c>
      <c r="K45" t="str">
        <f>[1]!PAGE.2.63.7</f>
        <v>10:05:48</v>
      </c>
    </row>
    <row r="46" spans="1:11" hidden="1">
      <c r="A46" t="str">
        <f>[1]!PAGE.2.66.1</f>
        <v>15/12</v>
      </c>
      <c r="B46" t="str">
        <f>[1]!PAGE.2.66.2</f>
        <v>TRD081128T13</v>
      </c>
      <c r="C46" t="str">
        <f>[1]!PAGE.2.66.11</f>
        <v>TRD081128T13_KESN_T0</v>
      </c>
      <c r="D46" t="str">
        <f>[1]!PAGE.2.66.3</f>
        <v/>
      </c>
      <c r="E46" t="str">
        <f>[1]!PAGE.2.66.4</f>
        <v/>
      </c>
      <c r="F46" t="str">
        <f>[1]!PAGE.2.66.5</f>
        <v/>
      </c>
      <c r="G46" t="str">
        <f>[1]!PAGE.2.66.6</f>
        <v/>
      </c>
      <c r="H46" t="str">
        <f>[1]!PAGE.2.66.8</f>
        <v/>
      </c>
      <c r="I46">
        <f>[1]!PAGE.2.66.9</f>
        <v>2.988131868</v>
      </c>
      <c r="J46" t="str">
        <f>[1]!PAGE.2.66.10</f>
        <v/>
      </c>
      <c r="K46" t="str">
        <f>[1]!PAGE.2.66.7</f>
        <v>10:07:27</v>
      </c>
    </row>
    <row r="47" spans="1:11" hidden="1">
      <c r="A47" t="str">
        <f>[1]!PAGE.2.67.1</f>
        <v>15/12</v>
      </c>
      <c r="B47" t="str">
        <f>[1]!PAGE.2.67.2</f>
        <v>TRDZKVK32633</v>
      </c>
      <c r="C47" t="str">
        <f>[1]!PAGE.2.67.11</f>
        <v>TRDZKVK32633_KESN_T0</v>
      </c>
      <c r="D47" t="str">
        <f>[1]!PAGE.2.67.3</f>
        <v/>
      </c>
      <c r="E47" t="str">
        <f>[1]!PAGE.2.67.4</f>
        <v/>
      </c>
      <c r="F47" t="str">
        <f>[1]!PAGE.2.67.5</f>
        <v/>
      </c>
      <c r="G47" t="str">
        <f>[1]!PAGE.2.67.6</f>
        <v/>
      </c>
      <c r="H47" t="str">
        <f>[1]!PAGE.2.67.8</f>
        <v/>
      </c>
      <c r="I47">
        <f>[1]!PAGE.2.67.9</f>
        <v>0.51369845400000003</v>
      </c>
      <c r="J47" t="str">
        <f>[1]!PAGE.2.67.10</f>
        <v/>
      </c>
      <c r="K47" t="str">
        <f>[1]!PAGE.2.67.7</f>
        <v>10:11:16</v>
      </c>
    </row>
    <row r="48" spans="1:11" hidden="1">
      <c r="A48" t="str">
        <f>[1]!PAGE.2.68.1</f>
        <v>15/12</v>
      </c>
      <c r="B48" t="str">
        <f>[1]!PAGE.2.68.2</f>
        <v>TRFKRYGA2521</v>
      </c>
      <c r="C48" t="str">
        <f>[1]!PAGE.2.68.11</f>
        <v>TRFKRYGA2521_KESN_T0</v>
      </c>
      <c r="D48" t="str">
        <f>[1]!PAGE.2.68.3</f>
        <v/>
      </c>
      <c r="E48" t="str">
        <f>[1]!PAGE.2.68.4</f>
        <v/>
      </c>
      <c r="F48" t="str">
        <f>[1]!PAGE.2.68.5</f>
        <v/>
      </c>
      <c r="G48" t="str">
        <f>[1]!PAGE.2.68.6</f>
        <v/>
      </c>
      <c r="H48" t="str">
        <f>[1]!PAGE.2.68.8</f>
        <v/>
      </c>
      <c r="I48">
        <f>[1]!PAGE.2.68.9</f>
        <v>10.783585714000001</v>
      </c>
      <c r="J48" t="str">
        <f>[1]!PAGE.2.68.10</f>
        <v/>
      </c>
      <c r="K48" t="str">
        <f>[1]!PAGE.2.68.7</f>
        <v>10:14:01</v>
      </c>
    </row>
    <row r="49" spans="1:11" hidden="1">
      <c r="A49" t="str">
        <f>[1]!PAGE.2.69.1</f>
        <v>15/12</v>
      </c>
      <c r="B49" t="str">
        <f>[1]!PAGE.2.69.2</f>
        <v>TRFDRDLA2510</v>
      </c>
      <c r="C49" t="str">
        <f>[1]!PAGE.2.69.11</f>
        <v>TRFDRDLA2510_KESN_T0</v>
      </c>
      <c r="D49" t="str">
        <f>[1]!PAGE.2.69.3</f>
        <v/>
      </c>
      <c r="E49" t="str">
        <f>[1]!PAGE.2.69.4</f>
        <v/>
      </c>
      <c r="F49" t="str">
        <f>[1]!PAGE.2.69.5</f>
        <v/>
      </c>
      <c r="G49" t="str">
        <f>[1]!PAGE.2.69.6</f>
        <v/>
      </c>
      <c r="H49" t="str">
        <f>[1]!PAGE.2.69.8</f>
        <v/>
      </c>
      <c r="I49">
        <f>[1]!PAGE.2.69.9</f>
        <v>7.6932266670000002</v>
      </c>
      <c r="J49" t="str">
        <f>[1]!PAGE.2.69.10</f>
        <v/>
      </c>
      <c r="K49" t="str">
        <f>[1]!PAGE.2.69.7</f>
        <v>10:25:26</v>
      </c>
    </row>
    <row r="50" spans="1:11" hidden="1">
      <c r="A50" t="str">
        <f>[1]!PAGE.2.70.1</f>
        <v>15/12</v>
      </c>
      <c r="B50" t="str">
        <f>[1]!PAGE.2.70.2</f>
        <v>TRFGZNMA2514</v>
      </c>
      <c r="C50" t="str">
        <f>[1]!PAGE.2.70.11</f>
        <v>TRFGZNMA2514_KESN_T0</v>
      </c>
      <c r="D50" t="str">
        <f>[1]!PAGE.2.70.3</f>
        <v/>
      </c>
      <c r="E50" t="str">
        <f>[1]!PAGE.2.70.4</f>
        <v/>
      </c>
      <c r="F50" t="str">
        <f>[1]!PAGE.2.70.5</f>
        <v/>
      </c>
      <c r="G50" t="str">
        <f>[1]!PAGE.2.70.6</f>
        <v/>
      </c>
      <c r="H50" t="str">
        <f>[1]!PAGE.2.70.8</f>
        <v/>
      </c>
      <c r="I50" t="str">
        <f>[1]!PAGE.2.70.9</f>
        <v/>
      </c>
      <c r="J50" t="str">
        <f>[1]!PAGE.2.70.10</f>
        <v/>
      </c>
      <c r="K50" t="str">
        <f>[1]!PAGE.2.70.7</f>
        <v>10:26:01</v>
      </c>
    </row>
    <row r="51" spans="1:11" hidden="1">
      <c r="A51" t="str">
        <f>[1]!PAGE.2.71.1</f>
        <v>15/12</v>
      </c>
      <c r="B51" t="str">
        <f>[1]!PAGE.2.71.2</f>
        <v>TRD111126T10</v>
      </c>
      <c r="C51" t="str">
        <f>[1]!PAGE.2.71.11</f>
        <v>TRD111126T10_KESN_T0</v>
      </c>
      <c r="D51" t="str">
        <f>[1]!PAGE.2.71.3</f>
        <v/>
      </c>
      <c r="E51" t="str">
        <f>[1]!PAGE.2.71.4</f>
        <v/>
      </c>
      <c r="F51" t="str">
        <f>[1]!PAGE.2.71.5</f>
        <v/>
      </c>
      <c r="G51" t="str">
        <f>[1]!PAGE.2.71.6</f>
        <v/>
      </c>
      <c r="H51" t="str">
        <f>[1]!PAGE.2.71.8</f>
        <v/>
      </c>
      <c r="I51">
        <f>[1]!PAGE.2.71.9</f>
        <v>3.354395604</v>
      </c>
      <c r="J51" t="str">
        <f>[1]!PAGE.2.71.10</f>
        <v/>
      </c>
      <c r="K51" t="str">
        <f>[1]!PAGE.2.71.7</f>
        <v>10:16:20</v>
      </c>
    </row>
    <row r="52" spans="1:11" hidden="1">
      <c r="A52" t="str">
        <f>[1]!PAGE.2.72.1</f>
        <v>15/12</v>
      </c>
      <c r="B52" t="str">
        <f>[1]!PAGE.2.72.2</f>
        <v>TRFAKDN12619</v>
      </c>
      <c r="C52" t="str">
        <f>[1]!PAGE.2.72.11</f>
        <v>TRFAKDN12619_KESN_T0</v>
      </c>
      <c r="D52" t="str">
        <f>[1]!PAGE.2.72.3</f>
        <v/>
      </c>
      <c r="E52" t="str">
        <f>[1]!PAGE.2.72.4</f>
        <v/>
      </c>
      <c r="F52" t="str">
        <f>[1]!PAGE.2.72.5</f>
        <v/>
      </c>
      <c r="G52" t="str">
        <f>[1]!PAGE.2.72.6</f>
        <v/>
      </c>
      <c r="H52" t="str">
        <f>[1]!PAGE.2.72.8</f>
        <v/>
      </c>
      <c r="I52" t="str">
        <f>[1]!PAGE.2.72.9</f>
        <v/>
      </c>
      <c r="J52" t="str">
        <f>[1]!PAGE.2.72.10</f>
        <v/>
      </c>
      <c r="K52" t="str">
        <f>[1]!PAGE.2.72.7</f>
        <v>10:16:32</v>
      </c>
    </row>
    <row r="53" spans="1:11">
      <c r="A53" t="str">
        <f>[1]!PAGE.2.58.1</f>
        <v>15/12</v>
      </c>
      <c r="B53" t="str">
        <f>[1]!PAGE.2.58.2</f>
        <v>TRT120929T12</v>
      </c>
      <c r="C53" t="str">
        <f>[1]!PAGE.2.58.11</f>
        <v>TRT120929T12_KESN_T0</v>
      </c>
      <c r="D53">
        <f>[1]!PAGE.2.58.3</f>
        <v>94.4</v>
      </c>
      <c r="E53">
        <f>[1]!PAGE.2.58.4</f>
        <v>32.549999999999997</v>
      </c>
      <c r="F53">
        <f>[1]!PAGE.2.58.5</f>
        <v>35.200000000000003</v>
      </c>
      <c r="G53" s="4">
        <f>[1]!PAGE.2.58.6</f>
        <v>26000000</v>
      </c>
      <c r="H53" s="5">
        <f>[1]!PAGE.2.58.8</f>
        <v>26451142.859999999</v>
      </c>
      <c r="I53">
        <f>[1]!PAGE.2.58.9</f>
        <v>7.3351648349999996</v>
      </c>
      <c r="J53">
        <f>[1]!PAGE.2.58.10</f>
        <v>101.735</v>
      </c>
      <c r="K53" t="str">
        <f>[1]!PAGE.2.58.7</f>
        <v>13:32:58</v>
      </c>
    </row>
    <row r="54" spans="1:11" hidden="1">
      <c r="A54" t="str">
        <f>[1]!PAGE.2.74.1</f>
        <v>15/12</v>
      </c>
      <c r="B54" t="str">
        <f>[1]!PAGE.2.74.2</f>
        <v>TRFQYBN12610</v>
      </c>
      <c r="C54" t="str">
        <f>[1]!PAGE.2.74.11</f>
        <v>TRFQYBN12610_KESN_T0</v>
      </c>
      <c r="D54" t="str">
        <f>[1]!PAGE.2.74.3</f>
        <v/>
      </c>
      <c r="E54" t="str">
        <f>[1]!PAGE.2.74.4</f>
        <v/>
      </c>
      <c r="F54" t="str">
        <f>[1]!PAGE.2.74.5</f>
        <v/>
      </c>
      <c r="G54" t="str">
        <f>[1]!PAGE.2.74.6</f>
        <v/>
      </c>
      <c r="H54" t="str">
        <f>[1]!PAGE.2.74.8</f>
        <v/>
      </c>
      <c r="I54">
        <f>[1]!PAGE.2.74.9</f>
        <v>21.566881720000001</v>
      </c>
      <c r="J54" t="str">
        <f>[1]!PAGE.2.74.10</f>
        <v/>
      </c>
      <c r="K54" t="str">
        <f>[1]!PAGE.2.74.7</f>
        <v>10:26:26</v>
      </c>
    </row>
    <row r="55" spans="1:11" hidden="1">
      <c r="A55" t="str">
        <f>[1]!PAGE.2.75.1</f>
        <v>15/12</v>
      </c>
      <c r="B55" t="str">
        <f>[1]!PAGE.2.75.2</f>
        <v>TRFTRLC22619</v>
      </c>
      <c r="C55" t="str">
        <f>[1]!PAGE.2.75.11</f>
        <v>TRFTRLC22619_KESN_T0</v>
      </c>
      <c r="D55" t="str">
        <f>[1]!PAGE.2.75.3</f>
        <v/>
      </c>
      <c r="E55" t="str">
        <f>[1]!PAGE.2.75.4</f>
        <v/>
      </c>
      <c r="F55" t="str">
        <f>[1]!PAGE.2.75.5</f>
        <v/>
      </c>
      <c r="G55" t="str">
        <f>[1]!PAGE.2.75.6</f>
        <v/>
      </c>
      <c r="H55" t="str">
        <f>[1]!PAGE.2.75.8</f>
        <v/>
      </c>
      <c r="I55">
        <f>[1]!PAGE.2.75.9</f>
        <v>18.947939999999999</v>
      </c>
      <c r="J55" t="str">
        <f>[1]!PAGE.2.75.10</f>
        <v/>
      </c>
      <c r="K55" t="str">
        <f>[1]!PAGE.2.75.7</f>
        <v>10:28:59</v>
      </c>
    </row>
    <row r="56" spans="1:11" hidden="1">
      <c r="A56" t="str">
        <f>[1]!PAGE.2.76.1</f>
        <v>15/12</v>
      </c>
      <c r="B56" t="str">
        <f>[1]!PAGE.2.76.2</f>
        <v>TRFARSV22614</v>
      </c>
      <c r="C56" t="str">
        <f>[1]!PAGE.2.76.11</f>
        <v>TRFARSV22614_KESN_T0</v>
      </c>
      <c r="D56" t="str">
        <f>[1]!PAGE.2.76.3</f>
        <v/>
      </c>
      <c r="E56" t="str">
        <f>[1]!PAGE.2.76.4</f>
        <v/>
      </c>
      <c r="F56" t="str">
        <f>[1]!PAGE.2.76.5</f>
        <v/>
      </c>
      <c r="G56" t="str">
        <f>[1]!PAGE.2.76.6</f>
        <v/>
      </c>
      <c r="H56" t="str">
        <f>[1]!PAGE.2.76.8</f>
        <v/>
      </c>
      <c r="I56" t="str">
        <f>[1]!PAGE.2.76.9</f>
        <v/>
      </c>
      <c r="J56" t="str">
        <f>[1]!PAGE.2.76.10</f>
        <v/>
      </c>
      <c r="K56" t="str">
        <f>[1]!PAGE.2.76.7</f>
        <v>10:29:23</v>
      </c>
    </row>
    <row r="57" spans="1:11">
      <c r="A57" t="str">
        <f>[1]!PAGE.2.2.1</f>
        <v>15/12</v>
      </c>
      <c r="B57" t="str">
        <f>[1]!PAGE.2.2.2</f>
        <v>TRT110226T13</v>
      </c>
      <c r="C57" t="str">
        <f>[1]!PAGE.2.2.11</f>
        <v>TRT110226T13_KESN_T0</v>
      </c>
      <c r="D57">
        <f>[1]!PAGE.2.2.3</f>
        <v>96.35</v>
      </c>
      <c r="E57">
        <f>[1]!PAGE.2.2.4</f>
        <v>33.61</v>
      </c>
      <c r="F57">
        <f>[1]!PAGE.2.2.5</f>
        <v>38.74</v>
      </c>
      <c r="G57" s="4">
        <f>[1]!PAGE.2.2.6</f>
        <v>22000000</v>
      </c>
      <c r="H57" s="5">
        <f>[1]!PAGE.2.2.8</f>
        <v>21991417.579999998</v>
      </c>
      <c r="I57">
        <f>[1]!PAGE.2.2.9</f>
        <v>3.610989011</v>
      </c>
      <c r="J57">
        <f>[1]!PAGE.2.2.10</f>
        <v>99.960999999999999</v>
      </c>
      <c r="K57" t="str">
        <f>[1]!PAGE.2.2.7</f>
        <v>13:55:23</v>
      </c>
    </row>
    <row r="58" spans="1:11" hidden="1">
      <c r="A58" t="str">
        <f>[1]!PAGE.2.79.1</f>
        <v>15/12</v>
      </c>
      <c r="B58" t="str">
        <f>[1]!PAGE.2.79.2</f>
        <v>TRFQFNS22612</v>
      </c>
      <c r="C58" t="str">
        <f>[1]!PAGE.2.79.11</f>
        <v>TRFQFNS22612_KESN_T0</v>
      </c>
      <c r="D58" t="str">
        <f>[1]!PAGE.2.79.3</f>
        <v/>
      </c>
      <c r="E58" t="str">
        <f>[1]!PAGE.2.79.4</f>
        <v/>
      </c>
      <c r="F58" t="str">
        <f>[1]!PAGE.2.79.5</f>
        <v/>
      </c>
      <c r="G58" t="str">
        <f>[1]!PAGE.2.79.6</f>
        <v/>
      </c>
      <c r="H58" t="str">
        <f>[1]!PAGE.2.79.8</f>
        <v/>
      </c>
      <c r="I58" t="str">
        <f>[1]!PAGE.2.79.9</f>
        <v/>
      </c>
      <c r="J58" t="str">
        <f>[1]!PAGE.2.79.10</f>
        <v/>
      </c>
      <c r="K58" t="str">
        <f>[1]!PAGE.2.79.7</f>
        <v>10:23:32</v>
      </c>
    </row>
    <row r="59" spans="1:11" hidden="1">
      <c r="A59" t="str">
        <f>[1]!PAGE.2.80.1</f>
        <v>15/12</v>
      </c>
      <c r="B59" t="str">
        <f>[1]!PAGE.2.80.2</f>
        <v>TRFDGRV32612</v>
      </c>
      <c r="C59" t="str">
        <f>[1]!PAGE.2.80.11</f>
        <v>TRFDGRV32612_KESN_T0</v>
      </c>
      <c r="D59" t="str">
        <f>[1]!PAGE.2.80.3</f>
        <v/>
      </c>
      <c r="E59" t="str">
        <f>[1]!PAGE.2.80.4</f>
        <v/>
      </c>
      <c r="F59" t="str">
        <f>[1]!PAGE.2.80.5</f>
        <v/>
      </c>
      <c r="G59" t="str">
        <f>[1]!PAGE.2.80.6</f>
        <v/>
      </c>
      <c r="H59" t="str">
        <f>[1]!PAGE.2.80.8</f>
        <v/>
      </c>
      <c r="I59" t="str">
        <f>[1]!PAGE.2.80.9</f>
        <v/>
      </c>
      <c r="J59" t="str">
        <f>[1]!PAGE.2.80.10</f>
        <v/>
      </c>
      <c r="K59" t="str">
        <f>[1]!PAGE.2.80.7</f>
        <v>10:30:26</v>
      </c>
    </row>
    <row r="60" spans="1:11" hidden="1">
      <c r="A60" t="str">
        <f>[1]!PAGE.2.82.1</f>
        <v>15/12</v>
      </c>
      <c r="B60" t="str">
        <f>[1]!PAGE.2.82.2</f>
        <v>TRFAKDN42616</v>
      </c>
      <c r="C60" t="str">
        <f>[1]!PAGE.2.82.11</f>
        <v>TRFAKDN42616_KESN_T0</v>
      </c>
      <c r="D60" t="str">
        <f>[1]!PAGE.2.82.3</f>
        <v/>
      </c>
      <c r="E60" t="str">
        <f>[1]!PAGE.2.82.4</f>
        <v/>
      </c>
      <c r="F60" t="str">
        <f>[1]!PAGE.2.82.5</f>
        <v/>
      </c>
      <c r="G60" t="str">
        <f>[1]!PAGE.2.82.6</f>
        <v/>
      </c>
      <c r="H60" t="str">
        <f>[1]!PAGE.2.82.8</f>
        <v/>
      </c>
      <c r="I60" t="str">
        <f>[1]!PAGE.2.82.9</f>
        <v/>
      </c>
      <c r="J60" t="str">
        <f>[1]!PAGE.2.82.10</f>
        <v/>
      </c>
      <c r="K60" t="str">
        <f>[1]!PAGE.2.82.7</f>
        <v>10:31:16</v>
      </c>
    </row>
    <row r="61" spans="1:11" hidden="1">
      <c r="A61" t="str">
        <f>[1]!PAGE.2.83.1</f>
        <v>15/12</v>
      </c>
      <c r="B61" t="str">
        <f>[1]!PAGE.2.83.2</f>
        <v>TRDZKBV22633</v>
      </c>
      <c r="C61" t="str">
        <f>[1]!PAGE.2.83.11</f>
        <v>TRDZKBV22633_KESN_T0</v>
      </c>
      <c r="D61" t="str">
        <f>[1]!PAGE.2.83.3</f>
        <v/>
      </c>
      <c r="E61" t="str">
        <f>[1]!PAGE.2.83.4</f>
        <v/>
      </c>
      <c r="F61" t="str">
        <f>[1]!PAGE.2.83.5</f>
        <v/>
      </c>
      <c r="G61" t="str">
        <f>[1]!PAGE.2.83.6</f>
        <v/>
      </c>
      <c r="H61" t="str">
        <f>[1]!PAGE.2.83.8</f>
        <v/>
      </c>
      <c r="I61">
        <f>[1]!PAGE.2.83.9</f>
        <v>6.2904119630000004</v>
      </c>
      <c r="J61" t="str">
        <f>[1]!PAGE.2.83.10</f>
        <v/>
      </c>
      <c r="K61" t="str">
        <f>[1]!PAGE.2.83.7</f>
        <v>10:24:59</v>
      </c>
    </row>
    <row r="62" spans="1:11">
      <c r="A62" t="str">
        <f>[1]!PAGE.2.85.1</f>
        <v>15/12</v>
      </c>
      <c r="B62" t="str">
        <f>[1]!PAGE.2.85.2</f>
        <v>TRT270934T18</v>
      </c>
      <c r="C62" t="str">
        <f>[1]!PAGE.2.85.11</f>
        <v>TRT270934T18_KESN_T0</v>
      </c>
      <c r="D62">
        <f>[1]!PAGE.2.85.3</f>
        <v>96.5</v>
      </c>
      <c r="E62">
        <f>[1]!PAGE.2.85.4</f>
        <v>28.74</v>
      </c>
      <c r="F62">
        <f>[1]!PAGE.2.85.5</f>
        <v>30.8</v>
      </c>
      <c r="G62" s="4">
        <f>[1]!PAGE.2.85.6</f>
        <v>4000000</v>
      </c>
      <c r="H62" s="5">
        <f>[1]!PAGE.2.85.8</f>
        <v>4066989.01</v>
      </c>
      <c r="I62">
        <f>[1]!PAGE.2.85.9</f>
        <v>5.1747252750000001</v>
      </c>
      <c r="J62">
        <f>[1]!PAGE.2.85.10</f>
        <v>101.675</v>
      </c>
      <c r="K62" t="str">
        <f>[1]!PAGE.2.85.7</f>
        <v>12:29:39</v>
      </c>
    </row>
    <row r="63" spans="1:11">
      <c r="A63" t="str">
        <f>[1]!PAGE.2.60.1</f>
        <v>15/12</v>
      </c>
      <c r="B63" t="str">
        <f>[1]!PAGE.2.60.2</f>
        <v>TRT130733T17</v>
      </c>
      <c r="C63" t="str">
        <f>[1]!PAGE.2.60.11</f>
        <v>TRT130733T17_KESN_T0</v>
      </c>
      <c r="D63">
        <f>[1]!PAGE.2.60.3</f>
        <v>66.75</v>
      </c>
      <c r="E63">
        <f>[1]!PAGE.2.60.4</f>
        <v>28.75</v>
      </c>
      <c r="F63">
        <f>[1]!PAGE.2.60.5</f>
        <v>30.82</v>
      </c>
      <c r="G63" s="4">
        <f>[1]!PAGE.2.60.6</f>
        <v>4000000</v>
      </c>
      <c r="H63" s="5">
        <f>[1]!PAGE.2.60.8</f>
        <v>2953626.37</v>
      </c>
      <c r="I63">
        <f>[1]!PAGE.2.60.9</f>
        <v>7.0906593410000003</v>
      </c>
      <c r="J63">
        <f>[1]!PAGE.2.60.10</f>
        <v>73.840999999999994</v>
      </c>
      <c r="K63" t="str">
        <f>[1]!PAGE.2.60.7</f>
        <v>11:55:49</v>
      </c>
    </row>
    <row r="64" spans="1:11" hidden="1">
      <c r="A64" t="str">
        <f>[1]!PAGE.2.86.1</f>
        <v>15/12</v>
      </c>
      <c r="B64" t="str">
        <f>[1]!PAGE.2.86.2</f>
        <v>TRFBORL12639</v>
      </c>
      <c r="C64" t="str">
        <f>[1]!PAGE.2.86.11</f>
        <v>TRFBORL12639_KESN_T0</v>
      </c>
      <c r="D64" t="str">
        <f>[1]!PAGE.2.86.3</f>
        <v/>
      </c>
      <c r="E64" t="str">
        <f>[1]!PAGE.2.86.4</f>
        <v/>
      </c>
      <c r="F64" t="str">
        <f>[1]!PAGE.2.86.5</f>
        <v/>
      </c>
      <c r="G64" t="str">
        <f>[1]!PAGE.2.86.6</f>
        <v/>
      </c>
      <c r="H64" t="str">
        <f>[1]!PAGE.2.86.8</f>
        <v/>
      </c>
      <c r="I64">
        <f>[1]!PAGE.2.86.9</f>
        <v>19.514888889000002</v>
      </c>
      <c r="J64" t="str">
        <f>[1]!PAGE.2.86.10</f>
        <v/>
      </c>
      <c r="K64" t="str">
        <f>[1]!PAGE.2.86.7</f>
        <v>10:28:35</v>
      </c>
    </row>
    <row r="65" spans="1:11" hidden="1">
      <c r="A65" t="str">
        <f>[1]!PAGE.2.87.1</f>
        <v>15/12</v>
      </c>
      <c r="B65" t="str">
        <f>[1]!PAGE.2.87.2</f>
        <v>TRFDRDL22611</v>
      </c>
      <c r="C65" t="str">
        <f>[1]!PAGE.2.87.11</f>
        <v>TRFDRDL22611_KESN_T0</v>
      </c>
      <c r="D65" t="str">
        <f>[1]!PAGE.2.87.3</f>
        <v/>
      </c>
      <c r="E65" t="str">
        <f>[1]!PAGE.2.87.4</f>
        <v/>
      </c>
      <c r="F65" t="str">
        <f>[1]!PAGE.2.87.5</f>
        <v/>
      </c>
      <c r="G65" t="str">
        <f>[1]!PAGE.2.87.6</f>
        <v/>
      </c>
      <c r="H65" t="str">
        <f>[1]!PAGE.2.87.8</f>
        <v/>
      </c>
      <c r="I65">
        <f>[1]!PAGE.2.87.9</f>
        <v>3.8465756999999998</v>
      </c>
      <c r="J65" t="str">
        <f>[1]!PAGE.2.87.10</f>
        <v/>
      </c>
      <c r="K65" t="str">
        <f>[1]!PAGE.2.87.7</f>
        <v>10:29:55</v>
      </c>
    </row>
    <row r="66" spans="1:11" hidden="1">
      <c r="A66" t="str">
        <f>[1]!PAGE.2.88.1</f>
        <v>15/12</v>
      </c>
      <c r="B66" t="str">
        <f>[1]!PAGE.2.88.2</f>
        <v>TRFQFNS32611</v>
      </c>
      <c r="C66" t="str">
        <f>[1]!PAGE.2.88.11</f>
        <v>TRFQFNS32611_KESN_T0</v>
      </c>
      <c r="D66" t="str">
        <f>[1]!PAGE.2.88.3</f>
        <v/>
      </c>
      <c r="E66" t="str">
        <f>[1]!PAGE.2.88.4</f>
        <v/>
      </c>
      <c r="F66" t="str">
        <f>[1]!PAGE.2.88.5</f>
        <v/>
      </c>
      <c r="G66" t="str">
        <f>[1]!PAGE.2.88.6</f>
        <v/>
      </c>
      <c r="H66" t="str">
        <f>[1]!PAGE.2.88.8</f>
        <v/>
      </c>
      <c r="I66" t="str">
        <f>[1]!PAGE.2.88.9</f>
        <v/>
      </c>
      <c r="J66" t="str">
        <f>[1]!PAGE.2.88.10</f>
        <v/>
      </c>
      <c r="K66" t="str">
        <f>[1]!PAGE.2.88.7</f>
        <v>10:30:53</v>
      </c>
    </row>
    <row r="67" spans="1:11" hidden="1">
      <c r="A67" t="str">
        <f>[1]!PAGE.2.89.1</f>
        <v>15/12</v>
      </c>
      <c r="B67" t="str">
        <f>[1]!PAGE.2.89.2</f>
        <v>TRFQFNS52619</v>
      </c>
      <c r="C67" t="str">
        <f>[1]!PAGE.2.89.11</f>
        <v>TRFQFNS52619_KESN_T0</v>
      </c>
      <c r="D67" t="str">
        <f>[1]!PAGE.2.89.3</f>
        <v/>
      </c>
      <c r="E67" t="str">
        <f>[1]!PAGE.2.89.4</f>
        <v/>
      </c>
      <c r="F67" t="str">
        <f>[1]!PAGE.2.89.5</f>
        <v/>
      </c>
      <c r="G67" t="str">
        <f>[1]!PAGE.2.89.6</f>
        <v/>
      </c>
      <c r="H67" t="str">
        <f>[1]!PAGE.2.89.8</f>
        <v/>
      </c>
      <c r="I67" t="str">
        <f>[1]!PAGE.2.89.9</f>
        <v/>
      </c>
      <c r="J67" t="str">
        <f>[1]!PAGE.2.89.10</f>
        <v/>
      </c>
      <c r="K67" t="str">
        <f>[1]!PAGE.2.89.7</f>
        <v>10:31:41</v>
      </c>
    </row>
    <row r="68" spans="1:11" hidden="1">
      <c r="A68" t="str">
        <f>[1]!PAGE.2.90.1</f>
        <v>15/12</v>
      </c>
      <c r="B68" t="str">
        <f>[1]!PAGE.2.90.2</f>
        <v>TRDEVKS92718</v>
      </c>
      <c r="C68" t="str">
        <f>[1]!PAGE.2.90.11</f>
        <v>TRDEVKS92718_KESN_T0</v>
      </c>
      <c r="D68">
        <f>[1]!PAGE.2.90.3</f>
        <v>110.18</v>
      </c>
      <c r="E68" t="str">
        <f>[1]!PAGE.2.90.4</f>
        <v/>
      </c>
      <c r="F68" t="str">
        <f>[1]!PAGE.2.90.5</f>
        <v/>
      </c>
      <c r="G68">
        <f>[1]!PAGE.2.90.6</f>
        <v>493000000</v>
      </c>
      <c r="H68">
        <f>[1]!PAGE.2.90.8</f>
        <v>543187400</v>
      </c>
      <c r="I68" t="str">
        <f>[1]!PAGE.2.90.9</f>
        <v/>
      </c>
      <c r="J68">
        <f>[1]!PAGE.2.90.10</f>
        <v>110.18</v>
      </c>
      <c r="K68" t="str">
        <f>[1]!PAGE.2.90.7</f>
        <v>12:02:00</v>
      </c>
    </row>
    <row r="69" spans="1:11" hidden="1">
      <c r="A69" t="str">
        <f>[1]!PAGE.2.91.1</f>
        <v>15/12</v>
      </c>
      <c r="B69" t="str">
        <f>[1]!PAGE.2.91.2</f>
        <v>TRFGZNM82618</v>
      </c>
      <c r="C69" t="str">
        <f>[1]!PAGE.2.91.11</f>
        <v>TRFGZNM82618_KESN_T0</v>
      </c>
      <c r="D69" t="str">
        <f>[1]!PAGE.2.91.3</f>
        <v/>
      </c>
      <c r="E69" t="str">
        <f>[1]!PAGE.2.91.4</f>
        <v/>
      </c>
      <c r="F69" t="str">
        <f>[1]!PAGE.2.91.5</f>
        <v/>
      </c>
      <c r="G69" t="str">
        <f>[1]!PAGE.2.91.6</f>
        <v/>
      </c>
      <c r="H69" t="str">
        <f>[1]!PAGE.2.91.8</f>
        <v/>
      </c>
      <c r="I69" t="str">
        <f>[1]!PAGE.2.91.9</f>
        <v/>
      </c>
      <c r="J69" t="str">
        <f>[1]!PAGE.2.91.10</f>
        <v/>
      </c>
      <c r="K69" t="str">
        <f>[1]!PAGE.2.91.7</f>
        <v>10:32:34</v>
      </c>
    </row>
    <row r="70" spans="1:11" hidden="1">
      <c r="A70" t="str">
        <f>[1]!PAGE.2.92.1</f>
        <v>15/12</v>
      </c>
      <c r="B70" t="str">
        <f>[1]!PAGE.2.92.2</f>
        <v>TRFGZNM92617</v>
      </c>
      <c r="C70" t="str">
        <f>[1]!PAGE.2.92.11</f>
        <v>TRFGZNM92617_KESN_T0</v>
      </c>
      <c r="D70" t="str">
        <f>[1]!PAGE.2.92.3</f>
        <v/>
      </c>
      <c r="E70" t="str">
        <f>[1]!PAGE.2.92.4</f>
        <v/>
      </c>
      <c r="F70" t="str">
        <f>[1]!PAGE.2.92.5</f>
        <v/>
      </c>
      <c r="G70" t="str">
        <f>[1]!PAGE.2.92.6</f>
        <v/>
      </c>
      <c r="H70" t="str">
        <f>[1]!PAGE.2.92.8</f>
        <v/>
      </c>
      <c r="I70" t="str">
        <f>[1]!PAGE.2.92.9</f>
        <v/>
      </c>
      <c r="J70" t="str">
        <f>[1]!PAGE.2.92.10</f>
        <v/>
      </c>
      <c r="K70" t="str">
        <f>[1]!PAGE.2.92.7</f>
        <v>10:32:58</v>
      </c>
    </row>
    <row r="71" spans="1:11" hidden="1">
      <c r="A71" t="str">
        <f>[1]!PAGE.2.93.1</f>
        <v>15/12</v>
      </c>
      <c r="B71" t="str">
        <f>[1]!PAGE.2.93.2</f>
        <v>TRFGZNMK2611</v>
      </c>
      <c r="C71" t="str">
        <f>[1]!PAGE.2.93.11</f>
        <v>TRFGZNMK2611_KESN_T0</v>
      </c>
      <c r="D71" t="str">
        <f>[1]!PAGE.2.93.3</f>
        <v/>
      </c>
      <c r="E71" t="str">
        <f>[1]!PAGE.2.93.4</f>
        <v/>
      </c>
      <c r="F71" t="str">
        <f>[1]!PAGE.2.93.5</f>
        <v/>
      </c>
      <c r="G71" t="str">
        <f>[1]!PAGE.2.93.6</f>
        <v/>
      </c>
      <c r="H71" t="str">
        <f>[1]!PAGE.2.93.8</f>
        <v/>
      </c>
      <c r="I71" t="str">
        <f>[1]!PAGE.2.93.9</f>
        <v/>
      </c>
      <c r="J71" t="str">
        <f>[1]!PAGE.2.93.10</f>
        <v/>
      </c>
      <c r="K71" t="str">
        <f>[1]!PAGE.2.93.7</f>
        <v>10:33:29</v>
      </c>
    </row>
    <row r="72" spans="1:11" hidden="1">
      <c r="A72" t="str">
        <f>[1]!PAGE.2.94.1</f>
        <v>15/12</v>
      </c>
      <c r="B72" t="str">
        <f>[1]!PAGE.2.94.2</f>
        <v>TRD200526T17</v>
      </c>
      <c r="C72" t="str">
        <f>[1]!PAGE.2.94.11</f>
        <v>TRD200526T17_KESN_T0</v>
      </c>
      <c r="D72">
        <f>[1]!PAGE.2.94.3</f>
        <v>5970</v>
      </c>
      <c r="E72" t="str">
        <f>[1]!PAGE.2.94.4</f>
        <v/>
      </c>
      <c r="F72" t="str">
        <f>[1]!PAGE.2.94.5</f>
        <v/>
      </c>
      <c r="G72">
        <f>[1]!PAGE.2.94.6</f>
        <v>4975</v>
      </c>
      <c r="H72">
        <f>[1]!PAGE.2.94.8</f>
        <v>29700750</v>
      </c>
      <c r="I72" t="str">
        <f>[1]!PAGE.2.94.9</f>
        <v/>
      </c>
      <c r="J72">
        <f>[1]!PAGE.2.94.10</f>
        <v>5970</v>
      </c>
      <c r="K72" t="str">
        <f>[1]!PAGE.2.94.7</f>
        <v>12:52:31</v>
      </c>
    </row>
    <row r="73" spans="1:11" hidden="1">
      <c r="A73" t="str">
        <f>[1]!PAGE.2.95.1</f>
        <v>15/12</v>
      </c>
      <c r="B73" t="str">
        <f>[1]!PAGE.2.95.2</f>
        <v>TRD260126T15</v>
      </c>
      <c r="C73" t="str">
        <f>[1]!PAGE.2.95.11</f>
        <v>TRD260126T15_KESN_T0</v>
      </c>
      <c r="D73">
        <f>[1]!PAGE.2.95.3</f>
        <v>5975</v>
      </c>
      <c r="E73" t="str">
        <f>[1]!PAGE.2.95.4</f>
        <v/>
      </c>
      <c r="F73" t="str">
        <f>[1]!PAGE.2.95.5</f>
        <v/>
      </c>
      <c r="G73">
        <f>[1]!PAGE.2.95.6</f>
        <v>5970</v>
      </c>
      <c r="H73">
        <f>[1]!PAGE.2.95.8</f>
        <v>35670750</v>
      </c>
      <c r="I73" t="str">
        <f>[1]!PAGE.2.95.9</f>
        <v/>
      </c>
      <c r="J73">
        <f>[1]!PAGE.2.95.10</f>
        <v>5975</v>
      </c>
      <c r="K73" t="str">
        <f>[1]!PAGE.2.95.7</f>
        <v>12:03:31</v>
      </c>
    </row>
    <row r="74" spans="1:11" hidden="1">
      <c r="A74" t="str">
        <f>[1]!PAGE.2.96.1</f>
        <v>15/12</v>
      </c>
      <c r="B74" t="str">
        <f>[1]!PAGE.2.96.2</f>
        <v>TRDKTSK12618</v>
      </c>
      <c r="C74" t="str">
        <f>[1]!PAGE.2.96.11</f>
        <v>TRDKTSK12618_KESN_T0</v>
      </c>
      <c r="D74" t="str">
        <f>[1]!PAGE.2.96.3</f>
        <v/>
      </c>
      <c r="E74" t="str">
        <f>[1]!PAGE.2.96.4</f>
        <v/>
      </c>
      <c r="F74" t="str">
        <f>[1]!PAGE.2.96.5</f>
        <v/>
      </c>
      <c r="G74" t="str">
        <f>[1]!PAGE.2.96.6</f>
        <v/>
      </c>
      <c r="H74" t="str">
        <f>[1]!PAGE.2.96.8</f>
        <v/>
      </c>
      <c r="I74">
        <f>[1]!PAGE.2.96.9</f>
        <v>24.432878537000001</v>
      </c>
      <c r="J74" t="str">
        <f>[1]!PAGE.2.96.10</f>
        <v/>
      </c>
      <c r="K74" t="str">
        <f>[1]!PAGE.2.96.7</f>
        <v>11:47:23</v>
      </c>
    </row>
    <row r="75" spans="1:11" hidden="1">
      <c r="A75" t="str">
        <f>[1]!PAGE.2.97.1</f>
        <v>15/12</v>
      </c>
      <c r="B75" t="str">
        <f>[1]!PAGE.2.97.2</f>
        <v>TRDEMVK12628</v>
      </c>
      <c r="C75" t="str">
        <f>[1]!PAGE.2.97.11</f>
        <v>TRDEMVK12628_KESN_T0</v>
      </c>
      <c r="D75">
        <f>[1]!PAGE.2.97.3</f>
        <v>100.12</v>
      </c>
      <c r="E75">
        <f>[1]!PAGE.2.97.4</f>
        <v>36.67</v>
      </c>
      <c r="F75">
        <f>[1]!PAGE.2.97.5</f>
        <v>43.57</v>
      </c>
      <c r="G75">
        <f>[1]!PAGE.2.97.6</f>
        <v>10000000</v>
      </c>
      <c r="H75">
        <f>[1]!PAGE.2.97.8</f>
        <v>10753369.57</v>
      </c>
      <c r="I75">
        <f>[1]!PAGE.2.97.9</f>
        <v>7.4136957450000001</v>
      </c>
      <c r="J75">
        <f>[1]!PAGE.2.97.10</f>
        <v>107.53400000000001</v>
      </c>
      <c r="K75" t="str">
        <f>[1]!PAGE.2.97.7</f>
        <v>11:43:29</v>
      </c>
    </row>
    <row r="76" spans="1:11" hidden="1">
      <c r="A76" t="str">
        <f>[1]!PAGE.2.98.1</f>
        <v>15/12</v>
      </c>
      <c r="B76" t="str">
        <f>[1]!PAGE.2.98.2</f>
        <v>TRDQFVK12618</v>
      </c>
      <c r="C76" t="str">
        <f>[1]!PAGE.2.98.11</f>
        <v>TRDQFVK12618_KESN_T0</v>
      </c>
      <c r="D76">
        <f>[1]!PAGE.2.98.3</f>
        <v>100.66</v>
      </c>
      <c r="E76">
        <f>[1]!PAGE.2.98.4</f>
        <v>36.630000000000003</v>
      </c>
      <c r="F76">
        <f>[1]!PAGE.2.98.5</f>
        <v>43.44</v>
      </c>
      <c r="G76">
        <f>[1]!PAGE.2.98.6</f>
        <v>6300000</v>
      </c>
      <c r="H76">
        <f>[1]!PAGE.2.98.8</f>
        <v>6833499.2300000004</v>
      </c>
      <c r="I76">
        <f>[1]!PAGE.2.98.9</f>
        <v>7.8082417580000003</v>
      </c>
      <c r="J76">
        <f>[1]!PAGE.2.98.10</f>
        <v>108.468</v>
      </c>
      <c r="K76" t="str">
        <f>[1]!PAGE.2.98.7</f>
        <v>11:10:01</v>
      </c>
    </row>
    <row r="77" spans="1:11" hidden="1">
      <c r="A77" t="str">
        <f>[1]!PAGE.2.99.1</f>
        <v>15/12</v>
      </c>
      <c r="B77" t="str">
        <f>[1]!PAGE.2.99.2</f>
        <v>TRDEMVK12610</v>
      </c>
      <c r="C77" t="str">
        <f>[1]!PAGE.2.99.11</f>
        <v>TRDEMVK12610_KESN_T0</v>
      </c>
      <c r="D77">
        <f>[1]!PAGE.2.99.3</f>
        <v>100.36</v>
      </c>
      <c r="E77">
        <f>[1]!PAGE.2.99.4</f>
        <v>36.57</v>
      </c>
      <c r="F77">
        <f>[1]!PAGE.2.99.5</f>
        <v>43.25</v>
      </c>
      <c r="G77">
        <f>[1]!PAGE.2.99.6</f>
        <v>10000000</v>
      </c>
      <c r="H77">
        <f>[1]!PAGE.2.99.8</f>
        <v>10731068.33</v>
      </c>
      <c r="I77">
        <f>[1]!PAGE.2.99.9</f>
        <v>6.9506832980000004</v>
      </c>
      <c r="J77">
        <f>[1]!PAGE.2.99.10</f>
        <v>107.31100000000001</v>
      </c>
      <c r="K77" t="str">
        <f>[1]!PAGE.2.99.7</f>
        <v>11:43:29</v>
      </c>
    </row>
    <row r="78" spans="1:11" hidden="1">
      <c r="A78" t="str">
        <f>[1]!PAGE.2.100.1</f>
        <v>15/12</v>
      </c>
      <c r="B78" t="str">
        <f>[1]!PAGE.2.100.2</f>
        <v>TRDEMVK12651</v>
      </c>
      <c r="C78" t="str">
        <f>[1]!PAGE.2.100.11</f>
        <v>TRDEMVK12651_KESN_T0</v>
      </c>
      <c r="D78">
        <f>[1]!PAGE.2.100.3</f>
        <v>100.18</v>
      </c>
      <c r="E78">
        <f>[1]!PAGE.2.100.4</f>
        <v>36.61</v>
      </c>
      <c r="F78">
        <f>[1]!PAGE.2.100.5</f>
        <v>43.03</v>
      </c>
      <c r="G78">
        <f>[1]!PAGE.2.100.6</f>
        <v>20000000</v>
      </c>
      <c r="H78">
        <f>[1]!PAGE.2.100.8</f>
        <v>21345314.52</v>
      </c>
      <c r="I78">
        <f>[1]!PAGE.2.100.9</f>
        <v>6.5465725709999996</v>
      </c>
      <c r="J78">
        <f>[1]!PAGE.2.100.10</f>
        <v>106.727</v>
      </c>
      <c r="K78" t="str">
        <f>[1]!PAGE.2.100.7</f>
        <v>12:22:10</v>
      </c>
    </row>
    <row r="79" spans="1:11" hidden="1">
      <c r="A79" t="str">
        <f>[1]!PAGE.2.101.1</f>
        <v>15/12</v>
      </c>
      <c r="B79" t="str">
        <f>[1]!PAGE.2.101.2</f>
        <v>TRDKTSK22625</v>
      </c>
      <c r="C79" t="str">
        <f>[1]!PAGE.2.101.11</f>
        <v>TRDKTSK22625_KESN_T0</v>
      </c>
      <c r="D79" t="str">
        <f>[1]!PAGE.2.101.3</f>
        <v/>
      </c>
      <c r="E79" t="str">
        <f>[1]!PAGE.2.101.4</f>
        <v/>
      </c>
      <c r="F79" t="str">
        <f>[1]!PAGE.2.101.5</f>
        <v/>
      </c>
      <c r="G79" t="str">
        <f>[1]!PAGE.2.101.6</f>
        <v/>
      </c>
      <c r="H79" t="str">
        <f>[1]!PAGE.2.101.8</f>
        <v/>
      </c>
      <c r="I79">
        <f>[1]!PAGE.2.101.9</f>
        <v>12.887673846</v>
      </c>
      <c r="J79" t="str">
        <f>[1]!PAGE.2.101.10</f>
        <v/>
      </c>
      <c r="K79" t="str">
        <f>[1]!PAGE.2.101.7</f>
        <v>11:47:26</v>
      </c>
    </row>
    <row r="80" spans="1:11" hidden="1">
      <c r="A80" t="str">
        <f>[1]!PAGE.2.102.1</f>
        <v>15/12</v>
      </c>
      <c r="B80" t="str">
        <f>[1]!PAGE.2.102.2</f>
        <v>TRDEVKS22624</v>
      </c>
      <c r="C80" t="str">
        <f>[1]!PAGE.2.102.11</f>
        <v>TRDEVKS22624_KESN_T0</v>
      </c>
      <c r="D80" t="str">
        <f>[1]!PAGE.2.102.3</f>
        <v/>
      </c>
      <c r="E80" t="str">
        <f>[1]!PAGE.2.102.4</f>
        <v/>
      </c>
      <c r="F80" t="str">
        <f>[1]!PAGE.2.102.5</f>
        <v/>
      </c>
      <c r="G80" t="str">
        <f>[1]!PAGE.2.102.6</f>
        <v/>
      </c>
      <c r="H80" t="str">
        <f>[1]!PAGE.2.102.8</f>
        <v/>
      </c>
      <c r="I80">
        <f>[1]!PAGE.2.102.9</f>
        <v>4.6232859380000004</v>
      </c>
      <c r="J80" t="str">
        <f>[1]!PAGE.2.102.10</f>
        <v/>
      </c>
      <c r="K80" t="str">
        <f>[1]!PAGE.2.102.7</f>
        <v>11:47:19</v>
      </c>
    </row>
    <row r="81" spans="1:11" hidden="1">
      <c r="A81" t="str">
        <f>[1]!PAGE.2.104.1</f>
        <v>15/12</v>
      </c>
      <c r="B81" t="str">
        <f>[1]!PAGE.2.104.2</f>
        <v>TRDEMVK62714</v>
      </c>
      <c r="C81" t="str">
        <f>[1]!PAGE.2.104.11</f>
        <v>TRDEMVK62714_KESN_T0</v>
      </c>
      <c r="D81">
        <f>[1]!PAGE.2.104.3</f>
        <v>104.408</v>
      </c>
      <c r="E81" t="str">
        <f>[1]!PAGE.2.104.4</f>
        <v/>
      </c>
      <c r="F81" t="str">
        <f>[1]!PAGE.2.104.5</f>
        <v/>
      </c>
      <c r="G81">
        <f>[1]!PAGE.2.104.6</f>
        <v>67000000</v>
      </c>
      <c r="H81">
        <f>[1]!PAGE.2.104.8</f>
        <v>69953360</v>
      </c>
      <c r="I81" t="str">
        <f>[1]!PAGE.2.104.9</f>
        <v/>
      </c>
      <c r="J81">
        <f>[1]!PAGE.2.104.10</f>
        <v>104.408</v>
      </c>
      <c r="K81" t="str">
        <f>[1]!PAGE.2.104.7</f>
        <v>11:06:53</v>
      </c>
    </row>
    <row r="82" spans="1:11" hidden="1">
      <c r="A82" t="str">
        <f>[1]!PAGE.2.107.1</f>
        <v>15/12</v>
      </c>
      <c r="B82" t="str">
        <f>[1]!PAGE.2.107.2</f>
        <v>TRD180326T13</v>
      </c>
      <c r="C82" t="str">
        <f>[1]!PAGE.2.107.11</f>
        <v>TRD180326T13_KESN_T0</v>
      </c>
      <c r="D82">
        <f>[1]!PAGE.2.107.3</f>
        <v>5980</v>
      </c>
      <c r="E82" t="str">
        <f>[1]!PAGE.2.107.4</f>
        <v/>
      </c>
      <c r="F82" t="str">
        <f>[1]!PAGE.2.107.5</f>
        <v/>
      </c>
      <c r="G82">
        <f>[1]!PAGE.2.107.6</f>
        <v>7960</v>
      </c>
      <c r="H82">
        <f>[1]!PAGE.2.107.8</f>
        <v>47600800</v>
      </c>
      <c r="I82" t="str">
        <f>[1]!PAGE.2.107.9</f>
        <v/>
      </c>
      <c r="J82">
        <f>[1]!PAGE.2.107.10</f>
        <v>5980</v>
      </c>
      <c r="K82" t="str">
        <f>[1]!PAGE.2.107.7</f>
        <v>12:04:05</v>
      </c>
    </row>
    <row r="83" spans="1:11" hidden="1">
      <c r="A83" t="str">
        <f>[1]!PAGE.2.108.1</f>
        <v>15/12</v>
      </c>
      <c r="B83" t="str">
        <f>[1]!PAGE.2.108.2</f>
        <v>TRD180226T14</v>
      </c>
      <c r="C83" t="str">
        <f>[1]!PAGE.2.108.11</f>
        <v>TRD180226T14_KESN_T0</v>
      </c>
      <c r="D83">
        <f>[1]!PAGE.2.108.3</f>
        <v>5985</v>
      </c>
      <c r="E83" t="str">
        <f>[1]!PAGE.2.108.4</f>
        <v/>
      </c>
      <c r="F83" t="str">
        <f>[1]!PAGE.2.108.5</f>
        <v/>
      </c>
      <c r="G83">
        <f>[1]!PAGE.2.108.6</f>
        <v>5970</v>
      </c>
      <c r="H83">
        <f>[1]!PAGE.2.108.8</f>
        <v>35730450</v>
      </c>
      <c r="I83" t="str">
        <f>[1]!PAGE.2.108.9</f>
        <v/>
      </c>
      <c r="J83">
        <f>[1]!PAGE.2.108.10</f>
        <v>5985</v>
      </c>
      <c r="K83" t="str">
        <f>[1]!PAGE.2.108.7</f>
        <v>12:03:45</v>
      </c>
    </row>
    <row r="84" spans="1:11" hidden="1">
      <c r="A84" t="str">
        <f>[1]!PAGE.2.109.1</f>
        <v>15/12</v>
      </c>
      <c r="B84" t="str">
        <f>[1]!PAGE.2.109.2</f>
        <v>TRSZORN52617</v>
      </c>
      <c r="C84" t="str">
        <f>[1]!PAGE.2.109.11</f>
        <v>TRSZORN52617_KESN_T0</v>
      </c>
      <c r="D84" t="str">
        <f>[1]!PAGE.2.109.3</f>
        <v/>
      </c>
      <c r="E84" t="str">
        <f>[1]!PAGE.2.109.4</f>
        <v/>
      </c>
      <c r="F84" t="str">
        <f>[1]!PAGE.2.109.5</f>
        <v/>
      </c>
      <c r="G84" t="str">
        <f>[1]!PAGE.2.109.6</f>
        <v/>
      </c>
      <c r="H84" t="str">
        <f>[1]!PAGE.2.109.8</f>
        <v/>
      </c>
      <c r="I84">
        <f>[1]!PAGE.2.109.9</f>
        <v>0.56987586199999996</v>
      </c>
      <c r="J84" t="str">
        <f>[1]!PAGE.2.109.10</f>
        <v/>
      </c>
      <c r="K84" t="str">
        <f>[1]!PAGE.2.109.7</f>
        <v>13:48:25</v>
      </c>
    </row>
    <row r="85" spans="1:11">
      <c r="A85" t="str">
        <f>[1]!PAGE.2.55.1</f>
        <v>15/12</v>
      </c>
      <c r="B85" t="str">
        <f>[1]!PAGE.2.55.2</f>
        <v>TRT100227T13</v>
      </c>
      <c r="C85" t="str">
        <f>[1]!PAGE.2.55.11</f>
        <v>TRT100227T13_KESN_T0</v>
      </c>
      <c r="D85">
        <f>[1]!PAGE.2.55.3</f>
        <v>97.075000000000003</v>
      </c>
      <c r="E85">
        <f>[1]!PAGE.2.55.4</f>
        <v>35.56</v>
      </c>
      <c r="F85">
        <f>[1]!PAGE.2.55.5</f>
        <v>38.72</v>
      </c>
      <c r="G85" s="4">
        <f>[1]!PAGE.2.55.6</f>
        <v>2000000</v>
      </c>
      <c r="H85" s="5">
        <f>[1]!PAGE.2.55.8</f>
        <v>2163609.9</v>
      </c>
      <c r="I85">
        <f>[1]!PAGE.2.55.9</f>
        <v>11.105494504999999</v>
      </c>
      <c r="J85">
        <f>[1]!PAGE.2.55.10</f>
        <v>108.18</v>
      </c>
      <c r="K85" t="str">
        <f>[1]!PAGE.2.55.7</f>
        <v>13:52:26</v>
      </c>
    </row>
    <row r="86" spans="1:11" hidden="1">
      <c r="A86" t="str">
        <f>[1]!PAGE.2.113.1</f>
        <v>15/12</v>
      </c>
      <c r="B86" t="str">
        <f>[1]!PAGE.2.113.2</f>
        <v>TRFTCMD32624</v>
      </c>
      <c r="C86" t="str">
        <f>[1]!PAGE.2.113.11</f>
        <v>TRFTCMD32624_KESN_T0</v>
      </c>
      <c r="D86" t="str">
        <f>[1]!PAGE.2.113.3</f>
        <v/>
      </c>
      <c r="E86" t="str">
        <f>[1]!PAGE.2.113.4</f>
        <v/>
      </c>
      <c r="F86" t="str">
        <f>[1]!PAGE.2.113.5</f>
        <v/>
      </c>
      <c r="G86" t="str">
        <f>[1]!PAGE.2.113.6</f>
        <v/>
      </c>
      <c r="H86" t="str">
        <f>[1]!PAGE.2.113.8</f>
        <v/>
      </c>
      <c r="I86" t="str">
        <f>[1]!PAGE.2.113.9</f>
        <v/>
      </c>
      <c r="J86" t="str">
        <f>[1]!PAGE.2.113.10</f>
        <v/>
      </c>
      <c r="K86" t="str">
        <f>[1]!PAGE.2.113.7</f>
        <v>10:55:37</v>
      </c>
    </row>
    <row r="87" spans="1:11" hidden="1">
      <c r="A87" t="str">
        <f>[1]!PAGE.2.116.1</f>
        <v>15/12</v>
      </c>
      <c r="B87" t="str">
        <f>[1]!PAGE.2.116.2</f>
        <v>TRFTCMD42615</v>
      </c>
      <c r="C87" t="str">
        <f>[1]!PAGE.2.116.11</f>
        <v>TRFTCMD42615_KESN_T0</v>
      </c>
      <c r="D87" t="str">
        <f>[1]!PAGE.2.116.3</f>
        <v/>
      </c>
      <c r="E87" t="str">
        <f>[1]!PAGE.2.116.4</f>
        <v/>
      </c>
      <c r="F87" t="str">
        <f>[1]!PAGE.2.116.5</f>
        <v/>
      </c>
      <c r="G87" t="str">
        <f>[1]!PAGE.2.116.6</f>
        <v/>
      </c>
      <c r="H87" t="str">
        <f>[1]!PAGE.2.116.8</f>
        <v/>
      </c>
      <c r="I87" t="str">
        <f>[1]!PAGE.2.116.9</f>
        <v/>
      </c>
      <c r="J87" t="str">
        <f>[1]!PAGE.2.116.10</f>
        <v/>
      </c>
      <c r="K87" t="str">
        <f>[1]!PAGE.2.116.7</f>
        <v>11:01:16</v>
      </c>
    </row>
    <row r="88" spans="1:11" hidden="1">
      <c r="A88" t="str">
        <f>[1]!PAGE.2.119.1</f>
        <v>15/12</v>
      </c>
      <c r="B88" t="str">
        <f>[1]!PAGE.2.119.2</f>
        <v>TRD230233T18</v>
      </c>
      <c r="C88" t="str">
        <f>[1]!PAGE.2.119.11</f>
        <v>TRD230233T18_KESN_T0</v>
      </c>
      <c r="D88">
        <f>[1]!PAGE.2.119.3</f>
        <v>46.85</v>
      </c>
      <c r="E88">
        <f>[1]!PAGE.2.119.4</f>
        <v>29.61</v>
      </c>
      <c r="F88">
        <f>[1]!PAGE.2.119.5</f>
        <v>31.8</v>
      </c>
      <c r="G88">
        <f>[1]!PAGE.2.119.6</f>
        <v>110000</v>
      </c>
      <c r="H88">
        <f>[1]!PAGE.2.119.8</f>
        <v>55089.63</v>
      </c>
      <c r="I88">
        <f>[1]!PAGE.2.119.9</f>
        <v>3.2314835159999999</v>
      </c>
      <c r="J88">
        <f>[1]!PAGE.2.119.10</f>
        <v>50.081000000000003</v>
      </c>
      <c r="K88" t="str">
        <f>[1]!PAGE.2.119.7</f>
        <v>11:39:53</v>
      </c>
    </row>
    <row r="89" spans="1:11" hidden="1">
      <c r="A89" t="str">
        <f>[1]!PAGE.2.120.1</f>
        <v>15/12</v>
      </c>
      <c r="B89" t="str">
        <f>[1]!PAGE.2.120.2</f>
        <v>TRD190128T12</v>
      </c>
      <c r="C89" t="str">
        <f>[1]!PAGE.2.120.11</f>
        <v>TRD190128T12_KESN_T0</v>
      </c>
      <c r="D89">
        <f>[1]!PAGE.2.120.3</f>
        <v>64.349999999999994</v>
      </c>
      <c r="E89">
        <f>[1]!PAGE.2.120.4</f>
        <v>34.840000000000003</v>
      </c>
      <c r="F89">
        <f>[1]!PAGE.2.120.5</f>
        <v>37.869999999999997</v>
      </c>
      <c r="G89">
        <f>[1]!PAGE.2.120.6</f>
        <v>150000</v>
      </c>
      <c r="H89">
        <f>[1]!PAGE.2.120.8</f>
        <v>102249.31</v>
      </c>
      <c r="I89">
        <f>[1]!PAGE.2.120.9</f>
        <v>3.8162087910000002</v>
      </c>
      <c r="J89">
        <f>[1]!PAGE.2.120.10</f>
        <v>68.165999999999997</v>
      </c>
      <c r="K89" t="str">
        <f>[1]!PAGE.2.120.7</f>
        <v>11:40:06</v>
      </c>
    </row>
    <row r="90" spans="1:11" hidden="1">
      <c r="A90" t="str">
        <f>[1]!PAGE.2.122.1</f>
        <v>15/12</v>
      </c>
      <c r="B90" t="str">
        <f>[1]!PAGE.2.122.2</f>
        <v>TRD230632T15</v>
      </c>
      <c r="C90" t="str">
        <f>[1]!PAGE.2.122.11</f>
        <v>TRD230632T15_KESN_T0</v>
      </c>
      <c r="D90">
        <f>[1]!PAGE.2.122.3</f>
        <v>66</v>
      </c>
      <c r="E90">
        <f>[1]!PAGE.2.122.4</f>
        <v>30.29</v>
      </c>
      <c r="F90">
        <f>[1]!PAGE.2.122.5</f>
        <v>32.58</v>
      </c>
      <c r="G90">
        <f>[1]!PAGE.2.122.6</f>
        <v>150000</v>
      </c>
      <c r="H90">
        <f>[1]!PAGE.2.122.8</f>
        <v>111367.91</v>
      </c>
      <c r="I90">
        <f>[1]!PAGE.2.122.9</f>
        <v>8.2452747249999998</v>
      </c>
      <c r="J90">
        <f>[1]!PAGE.2.122.10</f>
        <v>74.245000000000005</v>
      </c>
      <c r="K90" t="str">
        <f>[1]!PAGE.2.122.7</f>
        <v>11:40:17</v>
      </c>
    </row>
    <row r="91" spans="1:11" hidden="1">
      <c r="A91" t="str">
        <f>[1]!PAGE.2.123.1</f>
        <v>15/12</v>
      </c>
      <c r="B91" t="str">
        <f>[1]!PAGE.2.123.2</f>
        <v>TRD161226T14</v>
      </c>
      <c r="C91" t="str">
        <f>[1]!PAGE.2.123.11</f>
        <v>TRD161226T14_KESN_T0</v>
      </c>
      <c r="D91" t="str">
        <f>[1]!PAGE.2.123.3</f>
        <v/>
      </c>
      <c r="E91" t="str">
        <f>[1]!PAGE.2.123.4</f>
        <v/>
      </c>
      <c r="F91" t="str">
        <f>[1]!PAGE.2.123.5</f>
        <v/>
      </c>
      <c r="G91" t="str">
        <f>[1]!PAGE.2.123.6</f>
        <v/>
      </c>
      <c r="H91" t="str">
        <f>[1]!PAGE.2.123.8</f>
        <v/>
      </c>
      <c r="I91">
        <f>[1]!PAGE.2.123.9</f>
        <v>18.296703297000001</v>
      </c>
      <c r="J91" t="str">
        <f>[1]!PAGE.2.123.10</f>
        <v/>
      </c>
      <c r="K91" t="str">
        <f>[1]!PAGE.2.123.7</f>
        <v>11:24:34</v>
      </c>
    </row>
    <row r="92" spans="1:11" hidden="1">
      <c r="A92" t="str">
        <f>[1]!PAGE.2.125.1</f>
        <v>15/12</v>
      </c>
      <c r="B92" t="str">
        <f>[1]!PAGE.2.125.2</f>
        <v>TRDZKVK22618</v>
      </c>
      <c r="C92" t="str">
        <f>[1]!PAGE.2.125.11</f>
        <v>TRDZKVK22618_KESN_T0</v>
      </c>
      <c r="D92">
        <f>[1]!PAGE.2.125.3</f>
        <v>99.915999999999997</v>
      </c>
      <c r="E92">
        <f>[1]!PAGE.2.125.4</f>
        <v>37</v>
      </c>
      <c r="F92">
        <f>[1]!PAGE.2.125.5</f>
        <v>43.22</v>
      </c>
      <c r="G92">
        <f>[1]!PAGE.2.125.6</f>
        <v>50000000</v>
      </c>
      <c r="H92">
        <f>[1]!PAGE.2.125.8</f>
        <v>52040192</v>
      </c>
      <c r="I92">
        <f>[1]!PAGE.2.125.9</f>
        <v>4.1643840000000001</v>
      </c>
      <c r="J92">
        <f>[1]!PAGE.2.125.10</f>
        <v>104.08</v>
      </c>
      <c r="K92" t="str">
        <f>[1]!PAGE.2.125.7</f>
        <v>11:46:30</v>
      </c>
    </row>
    <row r="93" spans="1:11" hidden="1">
      <c r="A93" t="str">
        <f>[1]!PAGE.2.127.1</f>
        <v>15/12</v>
      </c>
      <c r="B93" t="str">
        <f>[1]!PAGE.2.127.2</f>
        <v>TRFALVS12618</v>
      </c>
      <c r="C93" t="str">
        <f>[1]!PAGE.2.127.11</f>
        <v>TRFALVS12618_KESN_T0</v>
      </c>
      <c r="D93" t="str">
        <f>[1]!PAGE.2.127.3</f>
        <v/>
      </c>
      <c r="E93" t="str">
        <f>[1]!PAGE.2.127.4</f>
        <v/>
      </c>
      <c r="F93" t="str">
        <f>[1]!PAGE.2.127.5</f>
        <v/>
      </c>
      <c r="G93" t="str">
        <f>[1]!PAGE.2.127.6</f>
        <v/>
      </c>
      <c r="H93" t="str">
        <f>[1]!PAGE.2.127.8</f>
        <v/>
      </c>
      <c r="I93">
        <f>[1]!PAGE.2.127.9</f>
        <v>11.321945238</v>
      </c>
      <c r="J93" t="str">
        <f>[1]!PAGE.2.127.10</f>
        <v/>
      </c>
      <c r="K93" t="str">
        <f>[1]!PAGE.2.127.7</f>
        <v>11:46:48</v>
      </c>
    </row>
    <row r="94" spans="1:11" hidden="1">
      <c r="A94" t="str">
        <f>[1]!PAGE.2.128.1</f>
        <v>15/12</v>
      </c>
      <c r="B94" t="str">
        <f>[1]!PAGE.2.128.2</f>
        <v>TRDKTLMA2528</v>
      </c>
      <c r="C94" t="str">
        <f>[1]!PAGE.2.128.11</f>
        <v>TRDKTLMA2528_KESN_T0</v>
      </c>
      <c r="D94" t="str">
        <f>[1]!PAGE.2.128.3</f>
        <v/>
      </c>
      <c r="E94" t="str">
        <f>[1]!PAGE.2.128.4</f>
        <v/>
      </c>
      <c r="F94" t="str">
        <f>[1]!PAGE.2.128.5</f>
        <v/>
      </c>
      <c r="G94" t="str">
        <f>[1]!PAGE.2.128.6</f>
        <v/>
      </c>
      <c r="H94" t="str">
        <f>[1]!PAGE.2.128.8</f>
        <v/>
      </c>
      <c r="I94">
        <f>[1]!PAGE.2.128.9</f>
        <v>9.6924912089999999</v>
      </c>
      <c r="J94" t="str">
        <f>[1]!PAGE.2.128.10</f>
        <v/>
      </c>
      <c r="K94" t="str">
        <f>[1]!PAGE.2.128.7</f>
        <v>11:55:22</v>
      </c>
    </row>
    <row r="95" spans="1:11" hidden="1">
      <c r="A95" t="str">
        <f>[1]!PAGE.2.129.1</f>
        <v>15/12</v>
      </c>
      <c r="B95" t="str">
        <f>[1]!PAGE.2.129.2</f>
        <v>TRD060526T15</v>
      </c>
      <c r="C95" t="str">
        <f>[1]!PAGE.2.129.11</f>
        <v>TRD060526T15_KESN_T0</v>
      </c>
      <c r="D95" t="str">
        <f>[1]!PAGE.2.129.3</f>
        <v/>
      </c>
      <c r="E95" t="str">
        <f>[1]!PAGE.2.129.4</f>
        <v/>
      </c>
      <c r="F95" t="str">
        <f>[1]!PAGE.2.129.5</f>
        <v/>
      </c>
      <c r="G95" t="str">
        <f>[1]!PAGE.2.129.6</f>
        <v/>
      </c>
      <c r="H95" t="str">
        <f>[1]!PAGE.2.129.8</f>
        <v/>
      </c>
      <c r="I95">
        <f>[1]!PAGE.2.129.9</f>
        <v>4.4945054950000003</v>
      </c>
      <c r="J95" t="str">
        <f>[1]!PAGE.2.129.10</f>
        <v/>
      </c>
      <c r="K95" t="str">
        <f>[1]!PAGE.2.129.7</f>
        <v>16:02:28</v>
      </c>
    </row>
    <row r="96" spans="1:11" hidden="1">
      <c r="A96" t="str">
        <f>[1]!PAGE.2.130.1</f>
        <v>15/12</v>
      </c>
      <c r="B96" t="str">
        <f>[1]!PAGE.2.130.2</f>
        <v>TRD030726T16</v>
      </c>
      <c r="C96" t="str">
        <f>[1]!PAGE.2.130.11</f>
        <v>TRD030726T16_KESN_T0</v>
      </c>
      <c r="D96" t="str">
        <f>[1]!PAGE.2.130.3</f>
        <v/>
      </c>
      <c r="E96" t="str">
        <f>[1]!PAGE.2.130.4</f>
        <v/>
      </c>
      <c r="F96" t="str">
        <f>[1]!PAGE.2.130.5</f>
        <v/>
      </c>
      <c r="G96" t="str">
        <f>[1]!PAGE.2.130.6</f>
        <v/>
      </c>
      <c r="H96" t="str">
        <f>[1]!PAGE.2.130.8</f>
        <v/>
      </c>
      <c r="I96" t="str">
        <f>[1]!PAGE.2.130.9</f>
        <v/>
      </c>
      <c r="J96" t="str">
        <f>[1]!PAGE.2.130.10</f>
        <v/>
      </c>
      <c r="K96" t="str">
        <f>[1]!PAGE.2.130.7</f>
        <v>12:09:04</v>
      </c>
    </row>
    <row r="97" spans="1:11" hidden="1">
      <c r="A97" t="str">
        <f>[1]!PAGE.2.131.1</f>
        <v>15/12</v>
      </c>
      <c r="B97" t="str">
        <f>[1]!PAGE.2.131.2</f>
        <v>TRD150426T31</v>
      </c>
      <c r="C97" t="str">
        <f>[1]!PAGE.2.131.11</f>
        <v>TRD150426T31_KESN_T0</v>
      </c>
      <c r="D97" t="str">
        <f>[1]!PAGE.2.131.3</f>
        <v/>
      </c>
      <c r="E97" t="str">
        <f>[1]!PAGE.2.131.4</f>
        <v/>
      </c>
      <c r="F97" t="str">
        <f>[1]!PAGE.2.131.5</f>
        <v/>
      </c>
      <c r="G97" t="str">
        <f>[1]!PAGE.2.131.6</f>
        <v/>
      </c>
      <c r="H97" t="str">
        <f>[1]!PAGE.2.131.8</f>
        <v/>
      </c>
      <c r="I97" t="str">
        <f>[1]!PAGE.2.131.9</f>
        <v/>
      </c>
      <c r="J97" t="str">
        <f>[1]!PAGE.2.131.10</f>
        <v/>
      </c>
      <c r="K97" t="str">
        <f>[1]!PAGE.2.131.7</f>
        <v>12:04:24</v>
      </c>
    </row>
    <row r="98" spans="1:11" hidden="1">
      <c r="A98" t="str">
        <f>[1]!PAGE.2.132.1</f>
        <v>15/12</v>
      </c>
      <c r="B98" t="str">
        <f>[1]!PAGE.2.132.2</f>
        <v>TRDGLVKK2611</v>
      </c>
      <c r="C98" t="str">
        <f>[1]!PAGE.2.132.11</f>
        <v>TRDGLVKK2611_KESN_T0</v>
      </c>
      <c r="D98" t="str">
        <f>[1]!PAGE.2.132.3</f>
        <v/>
      </c>
      <c r="E98" t="str">
        <f>[1]!PAGE.2.132.4</f>
        <v/>
      </c>
      <c r="F98" t="str">
        <f>[1]!PAGE.2.132.5</f>
        <v/>
      </c>
      <c r="G98" t="str">
        <f>[1]!PAGE.2.132.6</f>
        <v/>
      </c>
      <c r="H98" t="str">
        <f>[1]!PAGE.2.132.8</f>
        <v/>
      </c>
      <c r="I98">
        <f>[1]!PAGE.2.132.9</f>
        <v>4.4369659339999998</v>
      </c>
      <c r="J98" t="str">
        <f>[1]!PAGE.2.132.10</f>
        <v/>
      </c>
      <c r="K98" t="str">
        <f>[1]!PAGE.2.132.7</f>
        <v>12:04:39</v>
      </c>
    </row>
    <row r="99" spans="1:11" hidden="1">
      <c r="A99" t="str">
        <f>[1]!PAGE.2.133.1</f>
        <v>15/12</v>
      </c>
      <c r="B99" t="str">
        <f>[1]!PAGE.2.133.2</f>
        <v>TRD120626T16</v>
      </c>
      <c r="C99" t="str">
        <f>[1]!PAGE.2.133.11</f>
        <v>TRD120626T16_KESN_T0</v>
      </c>
      <c r="D99" t="str">
        <f>[1]!PAGE.2.133.3</f>
        <v/>
      </c>
      <c r="E99" t="str">
        <f>[1]!PAGE.2.133.4</f>
        <v/>
      </c>
      <c r="F99" t="str">
        <f>[1]!PAGE.2.133.5</f>
        <v/>
      </c>
      <c r="G99" t="str">
        <f>[1]!PAGE.2.133.6</f>
        <v/>
      </c>
      <c r="H99" t="str">
        <f>[1]!PAGE.2.133.8</f>
        <v/>
      </c>
      <c r="I99" t="str">
        <f>[1]!PAGE.2.133.9</f>
        <v/>
      </c>
      <c r="J99" t="str">
        <f>[1]!PAGE.2.133.10</f>
        <v/>
      </c>
      <c r="K99" t="str">
        <f>[1]!PAGE.2.133.7</f>
        <v>12:04:50</v>
      </c>
    </row>
    <row r="100" spans="1:11" hidden="1">
      <c r="A100" t="str">
        <f>[1]!PAGE.2.134.1</f>
        <v>15/12</v>
      </c>
      <c r="B100" t="str">
        <f>[1]!PAGE.2.134.2</f>
        <v>TRD071026T17</v>
      </c>
      <c r="C100" t="str">
        <f>[1]!PAGE.2.134.11</f>
        <v>TRD071026T17_KESN_T0</v>
      </c>
      <c r="D100" t="str">
        <f>[1]!PAGE.2.134.3</f>
        <v/>
      </c>
      <c r="E100" t="str">
        <f>[1]!PAGE.2.134.4</f>
        <v/>
      </c>
      <c r="F100" t="str">
        <f>[1]!PAGE.2.134.5</f>
        <v/>
      </c>
      <c r="G100" t="str">
        <f>[1]!PAGE.2.134.6</f>
        <v/>
      </c>
      <c r="H100" t="str">
        <f>[1]!PAGE.2.134.8</f>
        <v/>
      </c>
      <c r="I100" t="str">
        <f>[1]!PAGE.2.134.9</f>
        <v/>
      </c>
      <c r="J100" t="str">
        <f>[1]!PAGE.2.134.10</f>
        <v/>
      </c>
      <c r="K100" t="str">
        <f>[1]!PAGE.2.134.7</f>
        <v>12:05:59</v>
      </c>
    </row>
    <row r="101" spans="1:11" hidden="1">
      <c r="A101" t="str">
        <f>[1]!PAGE.2.135.1</f>
        <v>15/12</v>
      </c>
      <c r="B101" t="str">
        <f>[1]!PAGE.2.135.2</f>
        <v>TRDNVKA42621</v>
      </c>
      <c r="C101" t="str">
        <f>[1]!PAGE.2.135.11</f>
        <v>TRDNVKA42621_KESN_T0</v>
      </c>
      <c r="D101">
        <f>[1]!PAGE.2.135.3</f>
        <v>99.662999999999997</v>
      </c>
      <c r="E101">
        <f>[1]!PAGE.2.135.4</f>
        <v>38.049999999999997</v>
      </c>
      <c r="F101">
        <f>[1]!PAGE.2.135.5</f>
        <v>42.78</v>
      </c>
      <c r="G101">
        <f>[1]!PAGE.2.135.6</f>
        <v>50000000</v>
      </c>
      <c r="H101">
        <f>[1]!PAGE.2.135.8</f>
        <v>52449304.920000002</v>
      </c>
      <c r="I101">
        <f>[1]!PAGE.2.135.9</f>
        <v>5.2356098360000001</v>
      </c>
      <c r="J101">
        <f>[1]!PAGE.2.135.10</f>
        <v>104.899</v>
      </c>
      <c r="K101" t="str">
        <f>[1]!PAGE.2.135.7</f>
        <v>12:12:28</v>
      </c>
    </row>
    <row r="102" spans="1:11" hidden="1">
      <c r="A102" t="str">
        <f>[1]!PAGE.2.136.1</f>
        <v>15/12</v>
      </c>
      <c r="B102" t="str">
        <f>[1]!PAGE.2.136.2</f>
        <v>TRDBRKT22618</v>
      </c>
      <c r="C102" t="str">
        <f>[1]!PAGE.2.136.11</f>
        <v>TRDBRKT22618_KESN_T0</v>
      </c>
      <c r="D102">
        <f>[1]!PAGE.2.136.3</f>
        <v>99.873999999999995</v>
      </c>
      <c r="E102">
        <f>[1]!PAGE.2.136.4</f>
        <v>37.4</v>
      </c>
      <c r="F102">
        <f>[1]!PAGE.2.136.5</f>
        <v>43.94</v>
      </c>
      <c r="G102">
        <f>[1]!PAGE.2.136.6</f>
        <v>2400000</v>
      </c>
      <c r="H102">
        <f>[1]!PAGE.2.136.8</f>
        <v>2510154.4900000002</v>
      </c>
      <c r="I102">
        <f>[1]!PAGE.2.136.9</f>
        <v>4.715770408</v>
      </c>
      <c r="J102">
        <f>[1]!PAGE.2.136.10</f>
        <v>104.59</v>
      </c>
      <c r="K102" t="str">
        <f>[1]!PAGE.2.136.7</f>
        <v>12:27:37</v>
      </c>
    </row>
    <row r="103" spans="1:11" hidden="1">
      <c r="A103" t="str">
        <f>[1]!PAGE.2.139.1</f>
        <v>15/12</v>
      </c>
      <c r="B103" t="str">
        <f>[1]!PAGE.2.139.2</f>
        <v>TRDZKBV42623</v>
      </c>
      <c r="C103" t="str">
        <f>[1]!PAGE.2.139.11</f>
        <v>TRDZKBV42623_KESN_T0</v>
      </c>
      <c r="D103" t="str">
        <f>[1]!PAGE.2.139.3</f>
        <v/>
      </c>
      <c r="E103" t="str">
        <f>[1]!PAGE.2.139.4</f>
        <v/>
      </c>
      <c r="F103" t="str">
        <f>[1]!PAGE.2.139.5</f>
        <v/>
      </c>
      <c r="G103" t="str">
        <f>[1]!PAGE.2.139.6</f>
        <v/>
      </c>
      <c r="H103" t="str">
        <f>[1]!PAGE.2.139.8</f>
        <v/>
      </c>
      <c r="I103">
        <f>[1]!PAGE.2.139.9</f>
        <v>1.380822</v>
      </c>
      <c r="J103" t="str">
        <f>[1]!PAGE.2.139.10</f>
        <v/>
      </c>
      <c r="K103" t="str">
        <f>[1]!PAGE.2.139.7</f>
        <v>12:37:03</v>
      </c>
    </row>
    <row r="104" spans="1:11" hidden="1">
      <c r="A104" t="str">
        <f>[1]!PAGE.2.143.1</f>
        <v>15/12</v>
      </c>
      <c r="B104" t="str">
        <f>[1]!PAGE.2.143.2</f>
        <v>TRDHVKAA2532</v>
      </c>
      <c r="C104" t="str">
        <f>[1]!PAGE.2.143.11</f>
        <v>TRDHVKAA2532_KESN_T0</v>
      </c>
      <c r="D104">
        <f>[1]!PAGE.2.143.3</f>
        <v>99.986999999999995</v>
      </c>
      <c r="E104">
        <f>[1]!PAGE.2.143.4</f>
        <v>38.21</v>
      </c>
      <c r="F104">
        <f>[1]!PAGE.2.143.5</f>
        <v>46.48</v>
      </c>
      <c r="G104">
        <f>[1]!PAGE.2.143.6</f>
        <v>2600000</v>
      </c>
      <c r="H104">
        <f>[1]!PAGE.2.143.8</f>
        <v>2917004.54</v>
      </c>
      <c r="I104">
        <f>[1]!PAGE.2.143.9</f>
        <v>12.205482142999999</v>
      </c>
      <c r="J104">
        <f>[1]!PAGE.2.143.10</f>
        <v>112.19199999999999</v>
      </c>
      <c r="K104" t="str">
        <f>[1]!PAGE.2.143.7</f>
        <v>14:56:36</v>
      </c>
    </row>
    <row r="105" spans="1:11" hidden="1">
      <c r="A105" t="str">
        <f>[1]!PAGE.2.144.1</f>
        <v>15/12</v>
      </c>
      <c r="B105" t="str">
        <f>[1]!PAGE.2.144.2</f>
        <v>TRDABVKK2619</v>
      </c>
      <c r="C105" t="str">
        <f>[1]!PAGE.2.144.11</f>
        <v>TRDABVKK2619_KESN_T0</v>
      </c>
      <c r="D105">
        <f>[1]!PAGE.2.144.3</f>
        <v>103.437</v>
      </c>
      <c r="E105" t="str">
        <f>[1]!PAGE.2.144.4</f>
        <v/>
      </c>
      <c r="F105" t="str">
        <f>[1]!PAGE.2.144.5</f>
        <v/>
      </c>
      <c r="G105">
        <f>[1]!PAGE.2.144.6</f>
        <v>2000000</v>
      </c>
      <c r="H105">
        <f>[1]!PAGE.2.144.8</f>
        <v>2068740</v>
      </c>
      <c r="I105" t="str">
        <f>[1]!PAGE.2.144.9</f>
        <v/>
      </c>
      <c r="J105">
        <f>[1]!PAGE.2.144.10</f>
        <v>103.437</v>
      </c>
      <c r="K105" t="str">
        <f>[1]!PAGE.2.144.7</f>
        <v>13:37:31</v>
      </c>
    </row>
    <row r="106" spans="1:11" hidden="1">
      <c r="A106" t="str">
        <f>[1]!PAGE.2.145.1</f>
        <v>15/12</v>
      </c>
      <c r="B106" t="str">
        <f>[1]!PAGE.2.145.2</f>
        <v>TRFOYMDA2517</v>
      </c>
      <c r="C106" t="str">
        <f>[1]!PAGE.2.145.11</f>
        <v>TRFOYMDA2517_KESN_T0</v>
      </c>
      <c r="D106" t="str">
        <f>[1]!PAGE.2.145.3</f>
        <v/>
      </c>
      <c r="E106" t="str">
        <f>[1]!PAGE.2.145.4</f>
        <v/>
      </c>
      <c r="F106" t="str">
        <f>[1]!PAGE.2.145.5</f>
        <v/>
      </c>
      <c r="G106" t="str">
        <f>[1]!PAGE.2.145.6</f>
        <v/>
      </c>
      <c r="H106" t="str">
        <f>[1]!PAGE.2.145.8</f>
        <v/>
      </c>
      <c r="I106" t="str">
        <f>[1]!PAGE.2.145.9</f>
        <v/>
      </c>
      <c r="J106" t="str">
        <f>[1]!PAGE.2.145.10</f>
        <v/>
      </c>
      <c r="K106" t="str">
        <f>[1]!PAGE.2.145.7</f>
        <v>13:42:37</v>
      </c>
    </row>
    <row r="107" spans="1:11">
      <c r="A107" t="str">
        <f>[1]!PAGE.2.50.1</f>
        <v>15/12</v>
      </c>
      <c r="B107" t="str">
        <f>[1]!PAGE.2.50.2</f>
        <v>TRT150927T11</v>
      </c>
      <c r="C107" t="str">
        <f>[1]!PAGE.2.50.11</f>
        <v>TRT150927T11_KESN_T0</v>
      </c>
      <c r="D107">
        <f>[1]!PAGE.2.50.3</f>
        <v>69.325000000000003</v>
      </c>
      <c r="E107">
        <f>[1]!PAGE.2.50.4</f>
        <v>35.03</v>
      </c>
      <c r="F107">
        <f>[1]!PAGE.2.50.5</f>
        <v>38.1</v>
      </c>
      <c r="G107" s="4">
        <f>[1]!PAGE.2.50.6</f>
        <v>2000000</v>
      </c>
      <c r="H107" s="5">
        <f>[1]!PAGE.2.50.8</f>
        <v>1436770.32</v>
      </c>
      <c r="I107">
        <f>[1]!PAGE.2.50.9</f>
        <v>2.5135164840000002</v>
      </c>
      <c r="J107">
        <f>[1]!PAGE.2.50.10</f>
        <v>71.838999999999999</v>
      </c>
      <c r="K107" t="str">
        <f>[1]!PAGE.2.50.7</f>
        <v>13:52:33</v>
      </c>
    </row>
    <row r="108" spans="1:11">
      <c r="A108" t="str">
        <f>[1]!PAGE.2.5.1</f>
        <v>15/12</v>
      </c>
      <c r="B108" t="str">
        <f>[1]!PAGE.2.5.2</f>
        <v>TRT050935T13</v>
      </c>
      <c r="C108" t="str">
        <f>[1]!PAGE.2.5.11</f>
        <v>TRT050935T13_KESN_T0</v>
      </c>
      <c r="D108">
        <f>[1]!PAGE.2.5.3</f>
        <v>104.2</v>
      </c>
      <c r="E108">
        <f>[1]!PAGE.2.5.4</f>
        <v>28.68</v>
      </c>
      <c r="F108">
        <f>[1]!PAGE.2.5.5</f>
        <v>30.74</v>
      </c>
      <c r="G108" s="4">
        <f>[1]!PAGE.2.5.6</f>
        <v>1000000</v>
      </c>
      <c r="H108" s="5">
        <f>[1]!PAGE.2.5.8</f>
        <v>1115498.3500000001</v>
      </c>
      <c r="I108">
        <f>[1]!PAGE.2.5.9</f>
        <v>7.349835165</v>
      </c>
      <c r="J108">
        <f>[1]!PAGE.2.5.10</f>
        <v>111.55</v>
      </c>
      <c r="K108" t="str">
        <f>[1]!PAGE.2.5.7</f>
        <v>13:46:32</v>
      </c>
    </row>
    <row r="109" spans="1:11" hidden="1">
      <c r="A109" t="str">
        <f>[1]!PAGE.2.149.1</f>
        <v>15/12</v>
      </c>
      <c r="B109" t="str">
        <f>[1]!PAGE.2.149.2</f>
        <v>TRFMSYNA2511</v>
      </c>
      <c r="C109" t="str">
        <f>[1]!PAGE.2.149.11</f>
        <v>TRFMSYNA2511_KESN_T0</v>
      </c>
      <c r="D109" t="str">
        <f>[1]!PAGE.2.149.3</f>
        <v/>
      </c>
      <c r="E109" t="str">
        <f>[1]!PAGE.2.149.4</f>
        <v/>
      </c>
      <c r="F109" t="str">
        <f>[1]!PAGE.2.149.5</f>
        <v/>
      </c>
      <c r="G109" t="str">
        <f>[1]!PAGE.2.149.6</f>
        <v/>
      </c>
      <c r="H109" t="str">
        <f>[1]!PAGE.2.149.8</f>
        <v/>
      </c>
      <c r="I109">
        <f>[1]!PAGE.2.149.9</f>
        <v>21.633230769000001</v>
      </c>
      <c r="J109" t="str">
        <f>[1]!PAGE.2.149.10</f>
        <v/>
      </c>
      <c r="K109" t="str">
        <f>[1]!PAGE.2.149.7</f>
        <v>13:57:23</v>
      </c>
    </row>
    <row r="110" spans="1:11" hidden="1">
      <c r="A110" t="str">
        <f>[1]!PAGE.2.150.1</f>
        <v>15/12</v>
      </c>
      <c r="B110" t="str">
        <f>[1]!PAGE.2.150.2</f>
        <v>TRFTIMG52622</v>
      </c>
      <c r="C110" t="str">
        <f>[1]!PAGE.2.150.11</f>
        <v>TRFTIMG52622_KESN_T0</v>
      </c>
      <c r="D110" t="str">
        <f>[1]!PAGE.2.150.3</f>
        <v/>
      </c>
      <c r="E110" t="str">
        <f>[1]!PAGE.2.150.4</f>
        <v/>
      </c>
      <c r="F110" t="str">
        <f>[1]!PAGE.2.150.5</f>
        <v/>
      </c>
      <c r="G110" t="str">
        <f>[1]!PAGE.2.150.6</f>
        <v/>
      </c>
      <c r="H110" t="str">
        <f>[1]!PAGE.2.150.8</f>
        <v/>
      </c>
      <c r="I110" t="str">
        <f>[1]!PAGE.2.150.9</f>
        <v/>
      </c>
      <c r="J110" t="str">
        <f>[1]!PAGE.2.150.10</f>
        <v/>
      </c>
      <c r="K110" t="str">
        <f>[1]!PAGE.2.150.7</f>
        <v>13:58:20</v>
      </c>
    </row>
    <row r="111" spans="1:11">
      <c r="A111" t="str">
        <f>[1]!PAGE.2.8.1</f>
        <v>15/12</v>
      </c>
      <c r="B111" t="str">
        <f>[1]!PAGE.2.8.2</f>
        <v>TRT110827T16</v>
      </c>
      <c r="C111" t="str">
        <f>[1]!PAGE.2.8.11</f>
        <v>TRT110827T16_KESN_T0</v>
      </c>
      <c r="D111">
        <f>[1]!PAGE.2.8.3</f>
        <v>70.900000000000006</v>
      </c>
      <c r="E111">
        <f>[1]!PAGE.2.8.4</f>
        <v>35</v>
      </c>
      <c r="F111">
        <f>[1]!PAGE.2.8.5</f>
        <v>38.06</v>
      </c>
      <c r="G111" s="4">
        <f>[1]!PAGE.2.8.6</f>
        <v>1000000</v>
      </c>
      <c r="H111" s="5">
        <f>[1]!PAGE.2.8.8</f>
        <v>744769.23</v>
      </c>
      <c r="I111">
        <f>[1]!PAGE.2.8.9</f>
        <v>3.576923077</v>
      </c>
      <c r="J111">
        <f>[1]!PAGE.2.8.10</f>
        <v>74.477000000000004</v>
      </c>
      <c r="K111" t="str">
        <f>[1]!PAGE.2.8.7</f>
        <v>13:53:44</v>
      </c>
    </row>
    <row r="112" spans="1:11" hidden="1">
      <c r="A112" t="str">
        <f>[1]!PAGE.2.160.1</f>
        <v>15/12</v>
      </c>
      <c r="B112" t="str">
        <f>[1]!PAGE.2.160.2</f>
        <v>TRFGDKME2618</v>
      </c>
      <c r="C112" t="str">
        <f>[1]!PAGE.2.160.11</f>
        <v>TRFGDKME2618_KESN_T0</v>
      </c>
      <c r="D112" t="str">
        <f>[1]!PAGE.2.160.3</f>
        <v/>
      </c>
      <c r="E112" t="str">
        <f>[1]!PAGE.2.160.4</f>
        <v/>
      </c>
      <c r="F112" t="str">
        <f>[1]!PAGE.2.160.5</f>
        <v/>
      </c>
      <c r="G112" t="str">
        <f>[1]!PAGE.2.160.6</f>
        <v/>
      </c>
      <c r="H112" t="str">
        <f>[1]!PAGE.2.160.8</f>
        <v/>
      </c>
      <c r="I112" t="str">
        <f>[1]!PAGE.2.160.9</f>
        <v/>
      </c>
      <c r="J112" t="str">
        <f>[1]!PAGE.2.160.10</f>
        <v/>
      </c>
      <c r="K112" t="str">
        <f>[1]!PAGE.2.160.7</f>
        <v>14:15:14</v>
      </c>
    </row>
    <row r="113" spans="1:11" hidden="1">
      <c r="A113" t="str">
        <f>[1]!PAGE.2.166.1</f>
        <v>15/12</v>
      </c>
      <c r="B113" t="str">
        <f>[1]!PAGE.2.166.2</f>
        <v>TRDKTSKE2610</v>
      </c>
      <c r="C113" t="str">
        <f>[1]!PAGE.2.166.11</f>
        <v>TRDKTSKE2610_KESN_T0</v>
      </c>
      <c r="D113" t="str">
        <f>[1]!PAGE.2.166.3</f>
        <v/>
      </c>
      <c r="E113" t="str">
        <f>[1]!PAGE.2.166.4</f>
        <v/>
      </c>
      <c r="F113" t="str">
        <f>[1]!PAGE.2.166.5</f>
        <v/>
      </c>
      <c r="G113" t="str">
        <f>[1]!PAGE.2.166.6</f>
        <v/>
      </c>
      <c r="H113" t="str">
        <f>[1]!PAGE.2.166.8</f>
        <v/>
      </c>
      <c r="I113" t="str">
        <f>[1]!PAGE.2.166.9</f>
        <v/>
      </c>
      <c r="J113" t="str">
        <f>[1]!PAGE.2.166.10</f>
        <v/>
      </c>
      <c r="K113" t="str">
        <f>[1]!PAGE.2.166.7</f>
        <v>14:24:03</v>
      </c>
    </row>
    <row r="114" spans="1:11" hidden="1">
      <c r="A114" t="str">
        <f>[1]!PAGE.2.185.1</f>
        <v>15/12</v>
      </c>
      <c r="B114" t="str">
        <f>[1]!PAGE.2.185.2</f>
        <v>TRDHVKAA2557</v>
      </c>
      <c r="C114" t="str">
        <f>[1]!PAGE.2.185.11</f>
        <v>TRDHVKAA2557_KESN_T0</v>
      </c>
      <c r="D114" t="str">
        <f>[1]!PAGE.2.185.3</f>
        <v/>
      </c>
      <c r="E114" t="str">
        <f>[1]!PAGE.2.185.4</f>
        <v/>
      </c>
      <c r="F114" t="str">
        <f>[1]!PAGE.2.185.5</f>
        <v/>
      </c>
      <c r="G114" t="str">
        <f>[1]!PAGE.2.185.6</f>
        <v/>
      </c>
      <c r="H114" t="str">
        <f>[1]!PAGE.2.185.8</f>
        <v/>
      </c>
      <c r="I114">
        <f>[1]!PAGE.2.185.9</f>
        <v>9.4746537360000005</v>
      </c>
      <c r="J114" t="str">
        <f>[1]!PAGE.2.185.10</f>
        <v/>
      </c>
      <c r="K114" t="str">
        <f>[1]!PAGE.2.185.7</f>
        <v>14:57:14</v>
      </c>
    </row>
  </sheetData>
  <autoFilter ref="A1:K114" xr:uid="{6919DB7C-77E6-4D8D-9E43-11969CDBC90C}">
    <filterColumn colId="1">
      <customFilters>
        <customFilter val="trt*"/>
        <customFilter val="trb*"/>
      </customFilters>
    </filterColumn>
    <filterColumn colId="7">
      <customFilters>
        <customFilter operator="notEqual" val=" "/>
      </customFilters>
    </filterColumn>
    <sortState ref="A2:K111">
      <sortCondition descending="1" ref="H1:H114"/>
    </sortState>
  </autoFilter>
  <sortState ref="A2:K114">
    <sortCondition ref="A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Gürsel Kona</dc:creator>
  <cp:lastModifiedBy>GÜRSEL KONA</cp:lastModifiedBy>
  <dcterms:created xsi:type="dcterms:W3CDTF">2025-12-13T16:54:17Z</dcterms:created>
  <dcterms:modified xsi:type="dcterms:W3CDTF">2025-12-15T14:17:13Z</dcterms:modified>
</cp:coreProperties>
</file>