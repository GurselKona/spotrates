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spotrates\"/>
    </mc:Choice>
  </mc:AlternateContent>
  <xr:revisionPtr revIDLastSave="0" documentId="8_{529FF4B0-20F3-4BD4-A5CB-C65EA00171F4}" xr6:coauthVersionLast="36" xr6:coauthVersionMax="36" xr10:uidLastSave="{00000000-0000-0000-0000-000000000000}"/>
  <bookViews>
    <workbookView xWindow="0" yWindow="0" windowWidth="28800" windowHeight="12810"/>
  </bookViews>
  <sheets>
    <sheet name="ttb202512163" sheetId="1" r:id="rId1"/>
  </sheets>
  <definedNames>
    <definedName name="_xlnm._FilterDatabase" localSheetId="0" hidden="1">ttb202512163!$A$2:$AW$176</definedName>
  </definedNames>
  <calcPr calcId="0"/>
</workbook>
</file>

<file path=xl/calcChain.xml><?xml version="1.0" encoding="utf-8"?>
<calcChain xmlns="http://schemas.openxmlformats.org/spreadsheetml/2006/main">
  <c r="D164" i="1" l="1"/>
  <c r="D163" i="1"/>
  <c r="D138" i="1"/>
  <c r="D136" i="1"/>
  <c r="D43" i="1"/>
  <c r="D159" i="1"/>
  <c r="D158" i="1"/>
  <c r="D129" i="1"/>
  <c r="D128" i="1"/>
  <c r="D127" i="1"/>
  <c r="D134" i="1"/>
  <c r="D133" i="1"/>
  <c r="D130" i="1"/>
  <c r="D161" i="1"/>
  <c r="D160" i="1"/>
  <c r="D147" i="1"/>
  <c r="D151" i="1"/>
  <c r="D150" i="1"/>
  <c r="D122" i="1"/>
  <c r="D42" i="1"/>
  <c r="D155" i="1"/>
  <c r="D154" i="1"/>
  <c r="D124" i="1"/>
  <c r="D142" i="1"/>
  <c r="D146" i="1"/>
  <c r="D145" i="1"/>
  <c r="D144" i="1"/>
  <c r="D143" i="1"/>
  <c r="D140" i="1"/>
  <c r="D139" i="1"/>
  <c r="D162" i="1"/>
  <c r="D166" i="1"/>
  <c r="D165" i="1"/>
  <c r="D153" i="1"/>
  <c r="D152" i="1"/>
  <c r="D126" i="1"/>
  <c r="D125" i="1"/>
  <c r="D149" i="1"/>
  <c r="D148" i="1"/>
  <c r="D120" i="1"/>
  <c r="D157" i="1"/>
  <c r="D156" i="1"/>
  <c r="D119" i="1"/>
  <c r="D44" i="1"/>
</calcChain>
</file>

<file path=xl/sharedStrings.xml><?xml version="1.0" encoding="utf-8"?>
<sst xmlns="http://schemas.openxmlformats.org/spreadsheetml/2006/main" count="792" uniqueCount="417">
  <si>
    <t>PAZAR ISMI</t>
  </si>
  <si>
    <t>ISLEM TARIHI</t>
  </si>
  <si>
    <t>ISLEM KODU</t>
  </si>
  <si>
    <t>VALOR1</t>
  </si>
  <si>
    <t>VALOR2</t>
  </si>
  <si>
    <t>ISIN/KOD</t>
  </si>
  <si>
    <t>PARA BIRIMI</t>
  </si>
  <si>
    <t>VKG/REPO SURESI</t>
  </si>
  <si>
    <t>KKG</t>
  </si>
  <si>
    <t>BIRIKMIS FAIZ/KIRA</t>
  </si>
  <si>
    <t>ACILIS</t>
  </si>
  <si>
    <t>EN DUSUK</t>
  </si>
  <si>
    <t>EN YUKSEK</t>
  </si>
  <si>
    <t>KAPANIS</t>
  </si>
  <si>
    <t>AG.ORT. FIYAT/ORAN/SWAP PUANI</t>
  </si>
  <si>
    <t>AG. ORT. TAKAS FIYATI</t>
  </si>
  <si>
    <t>ONCEKI ISLEM TARIHI</t>
  </si>
  <si>
    <t>ONCEKI AG.ORT. FIYAT</t>
  </si>
  <si>
    <t>ONCEKI KAPANIS</t>
  </si>
  <si>
    <t>ACILIS FIYAT/GETIRI</t>
  </si>
  <si>
    <t>EN DUSUK FIYAT/GETIRI</t>
  </si>
  <si>
    <t>EN YUKSEK FIYAT/GETIRI</t>
  </si>
  <si>
    <t>KAPANIS FIYAT/GETIRI</t>
  </si>
  <si>
    <t>AG. ORT.FIYAT/GETIRI</t>
  </si>
  <si>
    <t>KAPANIS BILESIK GETIRI</t>
  </si>
  <si>
    <t>AG. ORT. BILESIK GETIRI</t>
  </si>
  <si>
    <t>SON FIYAT DEGISIMI</t>
  </si>
  <si>
    <t>AG. ORT. FIYAT DEGISIMI</t>
  </si>
  <si>
    <t>KAPANIS BILESIK GETIRI DEGISIMI</t>
  </si>
  <si>
    <t>AG. ORT. BILESIK GETIRI DEGISIMI</t>
  </si>
  <si>
    <t>MIKTAR</t>
  </si>
  <si>
    <t>ISLEM HACMI</t>
  </si>
  <si>
    <t>ISLEM SAYISI</t>
  </si>
  <si>
    <t>CAPRAZ ISLEM VE TAKAS DISI ISLEM MIKTAR</t>
  </si>
  <si>
    <t>CAPRAZ ISLEM VE TAKAS DISI ISLEM HACMI</t>
  </si>
  <si>
    <t>CAPRAZ ISLEM VE TAKAS DISI ISLEM SAYISI</t>
  </si>
  <si>
    <t>OZEL ISLEM BILDIRIM MIKTARI</t>
  </si>
  <si>
    <t>OZEL ISLEM BILDIRIM HACMI</t>
  </si>
  <si>
    <t>OZEL ISLEM BILDIRIM SAYISI</t>
  </si>
  <si>
    <t>TOPLAM MIKTAR</t>
  </si>
  <si>
    <t>TOPLAM ISLEM HACMI</t>
  </si>
  <si>
    <t>TOPLAM ISLEM SAYISI</t>
  </si>
  <si>
    <t>BIRIKIMLI MIKTAR</t>
  </si>
  <si>
    <t>BIRIKIMLI ISLEM HACMI</t>
  </si>
  <si>
    <t>DENGE FIYATI</t>
  </si>
  <si>
    <t>TEK FIYAT SEANSI ISLEM MIKTARI</t>
  </si>
  <si>
    <t>TEK FIYAT SEANSI ISLEM HACMI</t>
  </si>
  <si>
    <t>TEK FIYAT SEANSI SOZLESME SAYISI</t>
  </si>
  <si>
    <t>MARKET NAME</t>
  </si>
  <si>
    <t>TRADEDATE</t>
  </si>
  <si>
    <t>INSTRUMENT CODE</t>
  </si>
  <si>
    <t>VALUEDATE1</t>
  </si>
  <si>
    <t>VALUEDATE2</t>
  </si>
  <si>
    <t>ISIN/CODE</t>
  </si>
  <si>
    <t>CURRENCY</t>
  </si>
  <si>
    <t>DTM/REPO TERM</t>
  </si>
  <si>
    <t>DTC</t>
  </si>
  <si>
    <t>ACCRUED INTEREST/LEASE</t>
  </si>
  <si>
    <t>OPENING</t>
  </si>
  <si>
    <t>LOWEST</t>
  </si>
  <si>
    <t>HIGHEST</t>
  </si>
  <si>
    <t>CLOSING</t>
  </si>
  <si>
    <t>WT. AVG. PRICE/RATE/SWAP POINT</t>
  </si>
  <si>
    <t>WT. AVG. SETTLEMENT PRICE</t>
  </si>
  <si>
    <t>PREVIOUS TRADE DATE</t>
  </si>
  <si>
    <t>PREVIOUS WT. AVG. PRICE</t>
  </si>
  <si>
    <t>PREVIOUS CLOSING PRICE</t>
  </si>
  <si>
    <t>OPENING PRICE/RETURN</t>
  </si>
  <si>
    <t>LOWEST PRICE/RETURN</t>
  </si>
  <si>
    <t>HIGHEST PRICE/RETURN</t>
  </si>
  <si>
    <t>CLOSING PRICE/RETURN</t>
  </si>
  <si>
    <t>WT. AVG. PRICE/RETURN</t>
  </si>
  <si>
    <t>CLOSING COMPOUND RETURN</t>
  </si>
  <si>
    <t>WT. AVG. COMPOUND RETURN</t>
  </si>
  <si>
    <t>LAST PRICE CHANGE</t>
  </si>
  <si>
    <t>WT. AVG. PRICE CHANGE</t>
  </si>
  <si>
    <t>CLOSING COMPOUND RETURN CHANGE</t>
  </si>
  <si>
    <t>WT. AVG COMPOUND RETURN CHANGE</t>
  </si>
  <si>
    <t>QUANTITY</t>
  </si>
  <si>
    <t>TRADED VALUE</t>
  </si>
  <si>
    <t>NUMBER OF DEALS</t>
  </si>
  <si>
    <t>CROSS TRADE AND NON-CLEARED TRADE QUANTITY</t>
  </si>
  <si>
    <t>CROSS AND NON-CLEARED TRADED VALUE</t>
  </si>
  <si>
    <t>NUMBER OF CROSS AND NON-CLEARED DEALS</t>
  </si>
  <si>
    <t>TRADE REPORT TRADE VOLUME</t>
  </si>
  <si>
    <t>TRADE REPORT TRADED VALUE</t>
  </si>
  <si>
    <t>NUMBER OF TRADE REPORT DEALS</t>
  </si>
  <si>
    <t>TOTAL QUANTITY</t>
  </si>
  <si>
    <t>TOTAL TRADED VALUE</t>
  </si>
  <si>
    <t>TOTAL NUMBER OF DEALS</t>
  </si>
  <si>
    <t>ACCUMULATED QUANTITY</t>
  </si>
  <si>
    <t>ACCUMULATED TRADED VALUE</t>
  </si>
  <si>
    <t>EQUILIBRIUM PRICE</t>
  </si>
  <si>
    <t>TRADE QUANTITY AT SINGLE PRICE SESSION</t>
  </si>
  <si>
    <t>TRADED VALUE AT SINGLE PRICE SESSION</t>
  </si>
  <si>
    <t>NUMBER OF DEALS AT SINGLE PRICE SESSION</t>
  </si>
  <si>
    <t>BAP PAY REPO PAZARI (EQUITYREPO)</t>
  </si>
  <si>
    <t>AEFES.E_PREP_T0-ON</t>
  </si>
  <si>
    <t>AEFES</t>
  </si>
  <si>
    <t>TRY</t>
  </si>
  <si>
    <t>AKBNK.E_PREP_T0-ON</t>
  </si>
  <si>
    <t>AKBNK</t>
  </si>
  <si>
    <t>ALARK.E_PREP_T0-ON</t>
  </si>
  <si>
    <t>ALARK</t>
  </si>
  <si>
    <t>ARCLK.E_PREP_T0-ON</t>
  </si>
  <si>
    <t>ARCLK</t>
  </si>
  <si>
    <t>ASELS.E_PREP_T0-ON</t>
  </si>
  <si>
    <t>ASELS</t>
  </si>
  <si>
    <t>ASTOR.E_PREP_T0-ON</t>
  </si>
  <si>
    <t>ASTOR</t>
  </si>
  <si>
    <t>BIMAS.E_PREP_T0-ON</t>
  </si>
  <si>
    <t>BIMAS</t>
  </si>
  <si>
    <t>DOHOL.E_PREP_T0-ON</t>
  </si>
  <si>
    <t>DOHOL</t>
  </si>
  <si>
    <t>DSTKF.E_PREP_T0-ON</t>
  </si>
  <si>
    <t>DSTKF</t>
  </si>
  <si>
    <t>EKGYO.E_PREP_T0-ON</t>
  </si>
  <si>
    <t>EKGYO</t>
  </si>
  <si>
    <t>EREGL.E_PREP_T0-ON</t>
  </si>
  <si>
    <t>EREGL</t>
  </si>
  <si>
    <t>BAP PARA SWAP PAZARI (FX SWAP)</t>
  </si>
  <si>
    <t>EURTRY_SWAP_T0-ON</t>
  </si>
  <si>
    <t>EURTRY_SWAP</t>
  </si>
  <si>
    <t>FROTO.E_PREP_T0-ON</t>
  </si>
  <si>
    <t>FROTO</t>
  </si>
  <si>
    <t>GARAN.E_PREP_T0-ON</t>
  </si>
  <si>
    <t>GARAN</t>
  </si>
  <si>
    <t>GUBRF.E_PREP_T0-ON</t>
  </si>
  <si>
    <t>GUBRF</t>
  </si>
  <si>
    <t>HALKB.E_PREP_T0-ON</t>
  </si>
  <si>
    <t>HALKB</t>
  </si>
  <si>
    <t>ISCTR.E_PREP_T0-ON</t>
  </si>
  <si>
    <t>ISCTR</t>
  </si>
  <si>
    <t>KCHOL.E_PREP_T0-ON</t>
  </si>
  <si>
    <t>KCHOL</t>
  </si>
  <si>
    <t>KONTR.E_PREP_T0-ON</t>
  </si>
  <si>
    <t>KONTR</t>
  </si>
  <si>
    <t>KUYAS.E_PREP_T0-ON</t>
  </si>
  <si>
    <t>KUYAS</t>
  </si>
  <si>
    <t>MAVI.E_PREP_T0-ON</t>
  </si>
  <si>
    <t>MAVI</t>
  </si>
  <si>
    <t>MGROS.E_PREP_T0-ON</t>
  </si>
  <si>
    <t>MGROS</t>
  </si>
  <si>
    <t>MIATK.E_PREP_T0-ON</t>
  </si>
  <si>
    <t>MIATK</t>
  </si>
  <si>
    <t>BAP PARA PIYASASI</t>
  </si>
  <si>
    <t>M_PARA_161225-231225</t>
  </si>
  <si>
    <t>M</t>
  </si>
  <si>
    <t>M_PARA_T0-ON</t>
  </si>
  <si>
    <t>OYAKC.E_PREP_T0-ON</t>
  </si>
  <si>
    <t>OYAKC</t>
  </si>
  <si>
    <t>PETKM.E_PREP_T0-ON</t>
  </si>
  <si>
    <t>PETKM</t>
  </si>
  <si>
    <t>PGSUS.E_PREP_T0-ON</t>
  </si>
  <si>
    <t>PGSUS</t>
  </si>
  <si>
    <t>BAP REPO-T. REPO KUCUK (GCREPS )</t>
  </si>
  <si>
    <t>S-KUCUK_REPS_T0-ON</t>
  </si>
  <si>
    <t>S</t>
  </si>
  <si>
    <t>BAP REPO-T. REPO NORMAL (GCREPO)</t>
  </si>
  <si>
    <t>S-NORMAL_REPN_T0-ON</t>
  </si>
  <si>
    <t>SAHOL.E_PREP_T0-ON</t>
  </si>
  <si>
    <t>SAHOL</t>
  </si>
  <si>
    <t>SASA.E_PREP_T0-ON</t>
  </si>
  <si>
    <t>SASA</t>
  </si>
  <si>
    <t>SISE.E_PREP_T0-ON</t>
  </si>
  <si>
    <t>SISE</t>
  </si>
  <si>
    <t>SOKM.E_PREP_T0-ON</t>
  </si>
  <si>
    <t>SOKM</t>
  </si>
  <si>
    <t>TAVHL.E_PREP_T0-ON</t>
  </si>
  <si>
    <t>TAVHL</t>
  </si>
  <si>
    <t>TCELL.E_PREP_T0-ON</t>
  </si>
  <si>
    <t>TCELL</t>
  </si>
  <si>
    <t>THYAO.E_PREP_T0-ON</t>
  </si>
  <si>
    <t>THYAO</t>
  </si>
  <si>
    <t>TKFEN.E_PREP_T0-ON</t>
  </si>
  <si>
    <t>TKFEN</t>
  </si>
  <si>
    <t>TRALT.E_PREP_T0-ON</t>
  </si>
  <si>
    <t>TRALT</t>
  </si>
  <si>
    <t>BAP KES NORMAL EMIRLER PZ (OPSN)</t>
  </si>
  <si>
    <t>TRB110326T12_KESN_T0</t>
  </si>
  <si>
    <t>TRB110326T12</t>
  </si>
  <si>
    <t>TRB170626T13_KESN_T0</t>
  </si>
  <si>
    <t>TRB170626T13</t>
  </si>
  <si>
    <t>BAP TAAHHUTLU ISLEM PAZARI (CTM)</t>
  </si>
  <si>
    <t>TRD020627T17_STIP_T0-ON</t>
  </si>
  <si>
    <t>TRD020627T17</t>
  </si>
  <si>
    <t>TRD020828T14_STIP_161225-231225</t>
  </si>
  <si>
    <t>TRD020828T14</t>
  </si>
  <si>
    <t>TRD040832T16_STIP_161225-230126</t>
  </si>
  <si>
    <t>TRD040832T16</t>
  </si>
  <si>
    <t>TRD040832T16_STIP_T0-ON</t>
  </si>
  <si>
    <t>TRD060526T15_KESN_T0</t>
  </si>
  <si>
    <t>TRD060526T15</t>
  </si>
  <si>
    <t>TRD061027T33_KESN_T0</t>
  </si>
  <si>
    <t>TRD061027T33</t>
  </si>
  <si>
    <t>TRD061027T33_KESN_T1</t>
  </si>
  <si>
    <t>TRD070427T14_KESN_T0</t>
  </si>
  <si>
    <t>TRD070427T14</t>
  </si>
  <si>
    <t>TRD070432T17_STIP_T0-ON</t>
  </si>
  <si>
    <t>TRD070432T17</t>
  </si>
  <si>
    <t>TRD070933T11_STIP_161225-241225</t>
  </si>
  <si>
    <t>TRD070933T11</t>
  </si>
  <si>
    <t>TRD080927T18_STIP_T0-ON</t>
  </si>
  <si>
    <t>TRD080927T18</t>
  </si>
  <si>
    <t>TRD080927T34_KESN_T0</t>
  </si>
  <si>
    <t>TRD080927T34</t>
  </si>
  <si>
    <t>TRD080927T34_KESN_T1</t>
  </si>
  <si>
    <t>TRD080927T34_STIP_T0-ON</t>
  </si>
  <si>
    <t>TRD100227T11_STIP_T0-ON</t>
  </si>
  <si>
    <t>TRD100227T11</t>
  </si>
  <si>
    <t>TRD111028T19_STIP_T0-ON</t>
  </si>
  <si>
    <t>TRD111028T19</t>
  </si>
  <si>
    <t>TRD111126T10_STIP_161225-050126</t>
  </si>
  <si>
    <t>TRD111126T10</t>
  </si>
  <si>
    <t>TRD140628T12_STIP_T0-ON</t>
  </si>
  <si>
    <t>TRD140628T12</t>
  </si>
  <si>
    <t>TRD150426T49_KESN_T0</t>
  </si>
  <si>
    <t>TRD150426T49</t>
  </si>
  <si>
    <t>TRD160926T35_STIP_T0-ON</t>
  </si>
  <si>
    <t>TRD160926T35</t>
  </si>
  <si>
    <t>TRD170129T13_KESN_T0</t>
  </si>
  <si>
    <t>TRD170129T13</t>
  </si>
  <si>
    <t>TRD170730T14_STIP_T0-ON</t>
  </si>
  <si>
    <t>TRD170730T14</t>
  </si>
  <si>
    <t>TRD171127T13_STIP_161225-060126</t>
  </si>
  <si>
    <t>TRD171127T13</t>
  </si>
  <si>
    <t>TRD171127T13_STIP_161225-150126</t>
  </si>
  <si>
    <t>TRD180226T14_KESN_T0</t>
  </si>
  <si>
    <t>TRD180226T14</t>
  </si>
  <si>
    <t>TRD180326T13_KESN_T0</t>
  </si>
  <si>
    <t>TRD180326T13</t>
  </si>
  <si>
    <t>TRD190128T12_STIP_161225-191225</t>
  </si>
  <si>
    <t>TRD190128T12</t>
  </si>
  <si>
    <t>TRD190128T12_STIP_T0-ON</t>
  </si>
  <si>
    <t>TRD200127T10_STIP_T0-ON</t>
  </si>
  <si>
    <t>TRD200127T10</t>
  </si>
  <si>
    <t>TRD200526T17_KESN_T0</t>
  </si>
  <si>
    <t>TRD200526T17</t>
  </si>
  <si>
    <t>TRD220726T13_KESN_T0</t>
  </si>
  <si>
    <t>TRD220726T13</t>
  </si>
  <si>
    <t>TRD260126T15_KESN_T0</t>
  </si>
  <si>
    <t>TRD260126T15</t>
  </si>
  <si>
    <t>TRDEVKS22665_KESN_T0</t>
  </si>
  <si>
    <t>TRDEVKS22665</t>
  </si>
  <si>
    <t>TRDHDFV42619_KESN_T1</t>
  </si>
  <si>
    <t>TRDHDFV42619</t>
  </si>
  <si>
    <t>TRDHDFV42627_KESN_T1</t>
  </si>
  <si>
    <t>TRDHDFV42627</t>
  </si>
  <si>
    <t>TRDHVKAA2557_KESN_T0</t>
  </si>
  <si>
    <t>TRDHVKAA2557</t>
  </si>
  <si>
    <t>TRDHVKAA2565_KESN_T0</t>
  </si>
  <si>
    <t>TRDHVKAA2565</t>
  </si>
  <si>
    <t>TRDZKBV42623_KESN_T0</t>
  </si>
  <si>
    <t>TRDZKBV42623</t>
  </si>
  <si>
    <t>TRDZKVK32633_KESN_T0</t>
  </si>
  <si>
    <t>TRDZKVK32633</t>
  </si>
  <si>
    <t>TRDZKVKA2538_KESN_T0</t>
  </si>
  <si>
    <t>TRDZKVKA2538</t>
  </si>
  <si>
    <t>TRFAKAD32614_KESN_T0</t>
  </si>
  <si>
    <t>TRFAKAD32614</t>
  </si>
  <si>
    <t>BAP MK TERCIHLI REPO (SPCL REPO)</t>
  </si>
  <si>
    <t>TRFBASR22616_MKTR_T0-ON</t>
  </si>
  <si>
    <t>TRFBASR22616</t>
  </si>
  <si>
    <t>TRFBASR52613_MKTR_T0-ON</t>
  </si>
  <si>
    <t>TRFBASR52613</t>
  </si>
  <si>
    <t>TRFBORL12639_MKTR_T0-ON</t>
  </si>
  <si>
    <t>TRFBORL12639</t>
  </si>
  <si>
    <t>TRFEFES22617_MKTR_T0-ON</t>
  </si>
  <si>
    <t>TRFEFES22617</t>
  </si>
  <si>
    <t>TRFEKOF42611_KESN_T1</t>
  </si>
  <si>
    <t>TRFEKOF42611</t>
  </si>
  <si>
    <t>TRFERTTA2547_MKTR_T0-ON</t>
  </si>
  <si>
    <t>TRFERTTA2547</t>
  </si>
  <si>
    <t>TRFGDKME2618_KESN_T0</t>
  </si>
  <si>
    <t>TRFGDKME2618</t>
  </si>
  <si>
    <t>TRFGKYH32620_MKTR_T0-ON</t>
  </si>
  <si>
    <t>TRFGKYH32620</t>
  </si>
  <si>
    <t>TRFGKYH92616_MKTR_T0-ON</t>
  </si>
  <si>
    <t>TRFGKYH92616</t>
  </si>
  <si>
    <t>TRFGKYHA2515_MKTR_T0-ON</t>
  </si>
  <si>
    <t>TRFGKYHA2515</t>
  </si>
  <si>
    <t>TRFGKYHE2610_KESN_T0</t>
  </si>
  <si>
    <t>TRFGKYHE2610</t>
  </si>
  <si>
    <t>TRFGKYHE2610_MKTR_T0-ON</t>
  </si>
  <si>
    <t>TRFIAZY42610_KESN_T0</t>
  </si>
  <si>
    <t>TRFIAZY42610</t>
  </si>
  <si>
    <t>TRFINFM22612_MKTR_T0-ON</t>
  </si>
  <si>
    <t>TRFINFM22612</t>
  </si>
  <si>
    <t>TRFITFK12614_MKTR_T0-ON</t>
  </si>
  <si>
    <t>TRFITFK12614</t>
  </si>
  <si>
    <t>TRFIVYSK2614_KESN_T1</t>
  </si>
  <si>
    <t>TRFIVYSK2614</t>
  </si>
  <si>
    <t>TRFMARB32618_MKTR_T0-ON</t>
  </si>
  <si>
    <t>TRFMARB32618</t>
  </si>
  <si>
    <t>TRFMINT62619_KESN_T1</t>
  </si>
  <si>
    <t>TRFMINT62619</t>
  </si>
  <si>
    <t>TRFNURL22622_KESN_181225</t>
  </si>
  <si>
    <t>TRFNURL22622</t>
  </si>
  <si>
    <t>TRFNURL22622_KESN_T1</t>
  </si>
  <si>
    <t>TRFPTUN12620_KESN_T0</t>
  </si>
  <si>
    <t>TRFPTUN12620</t>
  </si>
  <si>
    <t>TRFSRMDE2617_KESN_T0</t>
  </si>
  <si>
    <t>TRFSRMDE2617</t>
  </si>
  <si>
    <t>TRFTCMD12626_KESN_191225</t>
  </si>
  <si>
    <t>TRFTCMD12626</t>
  </si>
  <si>
    <t>TRFTCMD12626_KESN_T0</t>
  </si>
  <si>
    <t>TRFTCMD22617_KESN_191225</t>
  </si>
  <si>
    <t>TRFTCMD22617</t>
  </si>
  <si>
    <t>TRFTCMD22617_KESN_T0</t>
  </si>
  <si>
    <t>TRFVEST12613_KESN_T0</t>
  </si>
  <si>
    <t>TRFVEST12613</t>
  </si>
  <si>
    <t>TRFYKYM22640_KESN_T0</t>
  </si>
  <si>
    <t>TRFYKYM22640</t>
  </si>
  <si>
    <t>TRMET.E_PREP_T0-ON</t>
  </si>
  <si>
    <t>TRMET</t>
  </si>
  <si>
    <t>TRSCARFE2612_KESN_T0</t>
  </si>
  <si>
    <t>TRSCARFE2612</t>
  </si>
  <si>
    <t>TRSSISE32613_KESN_T0</t>
  </si>
  <si>
    <t>TRSSISE32613</t>
  </si>
  <si>
    <t>TRSSISE32613_MKTR_T0-ON</t>
  </si>
  <si>
    <t>TRSSMAR82610_KESN_T1</t>
  </si>
  <si>
    <t>TRSSMAR82610</t>
  </si>
  <si>
    <t>TRT021030T18_KESN_T0</t>
  </si>
  <si>
    <t>TRT021030T18</t>
  </si>
  <si>
    <t>TRT021030T18_KESN_T1</t>
  </si>
  <si>
    <t>TRT030726T18_KESN_T0</t>
  </si>
  <si>
    <t>TRT030726T18</t>
  </si>
  <si>
    <t>TRT040729T14_KESN_T0</t>
  </si>
  <si>
    <t>TRT040729T14</t>
  </si>
  <si>
    <t>TRT040729T14_KESN_T1</t>
  </si>
  <si>
    <t>TRT040729T14_MKTR_T0-ON</t>
  </si>
  <si>
    <t>TRT050527T17_KESN_T0</t>
  </si>
  <si>
    <t>TRT050527T17</t>
  </si>
  <si>
    <t>BAP KES KUCUK EMIRLER PZR (OPSS)</t>
  </si>
  <si>
    <t>TRT050527T17_KESS_T0</t>
  </si>
  <si>
    <t>TRT050527T33_KESN_T0</t>
  </si>
  <si>
    <t>TRT050527T33</t>
  </si>
  <si>
    <t>TRT050630T11_KESN_T0</t>
  </si>
  <si>
    <t>TRT050630T11</t>
  </si>
  <si>
    <t>TRT050630T11_KESN_T1</t>
  </si>
  <si>
    <t>TRT050935T13_KESN_T0</t>
  </si>
  <si>
    <t>TRT050935T13</t>
  </si>
  <si>
    <t>TRT050935T13_KESN_T1</t>
  </si>
  <si>
    <t>TRT051033T12_KESN_T1</t>
  </si>
  <si>
    <t>TRT051033T12</t>
  </si>
  <si>
    <t>TRT060928T11_KESN_T0</t>
  </si>
  <si>
    <t>TRT060928T11</t>
  </si>
  <si>
    <t>TRT060928T11_KESN_T1</t>
  </si>
  <si>
    <t>TRT061228T16_KESN_T0</t>
  </si>
  <si>
    <t>TRT061228T16</t>
  </si>
  <si>
    <t>TRT061228T16_KESN_T1</t>
  </si>
  <si>
    <t>TRT061228T16_KESS_T0</t>
  </si>
  <si>
    <t>TRT061228T16_MKTR_T0-ON</t>
  </si>
  <si>
    <t>TRT070329T15_KESN_T0</t>
  </si>
  <si>
    <t>TRT070329T15</t>
  </si>
  <si>
    <t>TRT070329T15_KESN_T1</t>
  </si>
  <si>
    <t>TRT070329T15_MKTR_T0-ON</t>
  </si>
  <si>
    <t>TRT080426T16</t>
  </si>
  <si>
    <t>TRT080426T16_MKTR_T0-ON</t>
  </si>
  <si>
    <t>TRT081128T15_KESN_T1</t>
  </si>
  <si>
    <t>TRT081128T15</t>
  </si>
  <si>
    <t>TRT100227T13_KESN_T0</t>
  </si>
  <si>
    <t>TRT100227T13</t>
  </si>
  <si>
    <t>TRT100227T13_KESS_T1</t>
  </si>
  <si>
    <t>TRT100730T13_KESN_T0</t>
  </si>
  <si>
    <t>TRT100730T13</t>
  </si>
  <si>
    <t>TRT100730T13_KESN_T1</t>
  </si>
  <si>
    <t>TRT110226T13_KESN_T0</t>
  </si>
  <si>
    <t>TRT110226T13</t>
  </si>
  <si>
    <t>TRT120826T16_KESN_T0</t>
  </si>
  <si>
    <t>TRT120826T16</t>
  </si>
  <si>
    <t>TRT120929T12_KESN_T0</t>
  </si>
  <si>
    <t>TRT120929T12</t>
  </si>
  <si>
    <t>TRT120929T12_KESN_T1</t>
  </si>
  <si>
    <t>TRT130629T30_KESN_T0</t>
  </si>
  <si>
    <t>TRT130629T30</t>
  </si>
  <si>
    <t>TRT130733T17_KESN_T0</t>
  </si>
  <si>
    <t>TRT130733T17</t>
  </si>
  <si>
    <t>TRT130733T17_KESN_T1</t>
  </si>
  <si>
    <t>TRT131027T10_KESN_T0</t>
  </si>
  <si>
    <t>TRT131027T10</t>
  </si>
  <si>
    <t>TRT131027T36_KESN_T0</t>
  </si>
  <si>
    <t>TRT131027T36</t>
  </si>
  <si>
    <t>TRT131027T36_KESN_T1</t>
  </si>
  <si>
    <t>TRT140727T14_KESN_T0</t>
  </si>
  <si>
    <t>TRT140727T14</t>
  </si>
  <si>
    <t>TRT140727T14_KESN_T1</t>
  </si>
  <si>
    <t>TRT150927T11_KESN_T1</t>
  </si>
  <si>
    <t>TRT150927T11</t>
  </si>
  <si>
    <t>TRT160431T19_KESN_T0</t>
  </si>
  <si>
    <t>TRT160431T19</t>
  </si>
  <si>
    <t>TRT160431T19_KESN_T1</t>
  </si>
  <si>
    <t>TRT180226T16_KESN_T0</t>
  </si>
  <si>
    <t>TRT180226T16</t>
  </si>
  <si>
    <t>TRT190728T18_KESN_T0</t>
  </si>
  <si>
    <t>TRT190728T18</t>
  </si>
  <si>
    <t>TRT190728T18_KESN_T1</t>
  </si>
  <si>
    <t>TRT270934T18_KESN_T0</t>
  </si>
  <si>
    <t>TRT270934T18</t>
  </si>
  <si>
    <t>TRT270934T18_KESN_T1</t>
  </si>
  <si>
    <t>TSKB.E_PREP_T0-ON</t>
  </si>
  <si>
    <t>TSKB</t>
  </si>
  <si>
    <t>TTKOM.E_PREP_T0-ON</t>
  </si>
  <si>
    <t>TTKOM</t>
  </si>
  <si>
    <t>TUPRS.E_PREP_T0-ON</t>
  </si>
  <si>
    <t>TUPRS</t>
  </si>
  <si>
    <t>ULKER.E_PREP_T0-ON</t>
  </si>
  <si>
    <t>ULKER</t>
  </si>
  <si>
    <t>USDTRY_SWAP_171225-170326</t>
  </si>
  <si>
    <t>USDTRY_SWAP</t>
  </si>
  <si>
    <t>USDTRY_SWAP_T0-1HAFTA</t>
  </si>
  <si>
    <t>USDTRY_SWAP_T0-ON</t>
  </si>
  <si>
    <t>USDTRY_SWAP_T1-1AY</t>
  </si>
  <si>
    <t>VAKBN.E_PREP_T0-ON</t>
  </si>
  <si>
    <t>VAKBN</t>
  </si>
  <si>
    <t>YKBNK.E_PREP_T0-ON</t>
  </si>
  <si>
    <t>YKBNK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</si>
</sst>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W176"/>
  <sheetViews>
    <sheetView tabSelected="1" workbookViewId="0">
      <selection activeCell="D42" sqref="D42:D126"/>
    </sheetView>
  </sheetViews>
  <sheetFormatPr defaultRowHeight="15" x14ac:dyDescent="0.25"/>
  <cols>
    <col min="1" max="1" width="35.28515625" bestFit="1" customWidth="1"/>
    <col min="2" max="2" width="12.42578125" bestFit="1" customWidth="1"/>
    <col min="3" max="3" width="32.5703125" bestFit="1" customWidth="1"/>
    <col min="4" max="4" width="15.28515625" customWidth="1"/>
    <col min="5" max="6" width="12.28515625" bestFit="1" customWidth="1"/>
    <col min="7" max="7" width="14.85546875" bestFit="1" customWidth="1"/>
    <col min="8" max="8" width="12" bestFit="1" customWidth="1"/>
    <col min="9" max="9" width="16.85546875" bestFit="1" customWidth="1"/>
    <col min="10" max="10" width="4.5703125" bestFit="1" customWidth="1"/>
    <col min="11" max="11" width="24.28515625" hidden="1" customWidth="1"/>
    <col min="12" max="12" width="9.28515625" hidden="1" customWidth="1"/>
    <col min="13" max="13" width="9.85546875" hidden="1" customWidth="1"/>
    <col min="14" max="14" width="10.42578125" hidden="1" customWidth="1"/>
    <col min="15" max="15" width="8.85546875" hidden="1" customWidth="1"/>
    <col min="16" max="16" width="32.85546875" hidden="1" customWidth="1"/>
    <col min="17" max="17" width="26.7109375" bestFit="1" customWidth="1"/>
    <col min="18" max="18" width="21.42578125" bestFit="1" customWidth="1"/>
    <col min="19" max="19" width="24.42578125" bestFit="1" customWidth="1"/>
    <col min="20" max="20" width="23.85546875" bestFit="1" customWidth="1"/>
    <col min="21" max="21" width="23" bestFit="1" customWidth="1"/>
    <col min="22" max="22" width="22" bestFit="1" customWidth="1"/>
    <col min="23" max="23" width="22.5703125" bestFit="1" customWidth="1"/>
    <col min="24" max="24" width="22.42578125" bestFit="1" customWidth="1"/>
    <col min="25" max="25" width="23" bestFit="1" customWidth="1"/>
    <col min="26" max="26" width="28" bestFit="1" customWidth="1"/>
    <col min="27" max="27" width="28.5703125" bestFit="1" customWidth="1"/>
    <col min="28" max="28" width="18.85546875" bestFit="1" customWidth="1"/>
    <col min="29" max="29" width="23" bestFit="1" customWidth="1"/>
    <col min="30" max="31" width="36.140625" bestFit="1" customWidth="1"/>
    <col min="32" max="32" width="12" bestFit="1" customWidth="1"/>
    <col min="33" max="33" width="14.28515625" bestFit="1" customWidth="1"/>
    <col min="34" max="34" width="17.7109375" bestFit="1" customWidth="1"/>
    <col min="35" max="35" width="47.28515625" bestFit="1" customWidth="1"/>
    <col min="36" max="36" width="39.28515625" bestFit="1" customWidth="1"/>
    <col min="37" max="37" width="42.28515625" bestFit="1" customWidth="1"/>
    <col min="38" max="38" width="28.7109375" bestFit="1" customWidth="1"/>
    <col min="39" max="39" width="28.140625" bestFit="1" customWidth="1"/>
    <col min="40" max="40" width="31.5703125" bestFit="1" customWidth="1"/>
    <col min="41" max="41" width="16.140625" bestFit="1" customWidth="1"/>
    <col min="42" max="42" width="20.7109375" bestFit="1" customWidth="1"/>
    <col min="43" max="43" width="23.85546875" bestFit="1" customWidth="1"/>
    <col min="44" max="44" width="24.140625" bestFit="1" customWidth="1"/>
    <col min="45" max="45" width="28.42578125" bestFit="1" customWidth="1"/>
    <col min="46" max="46" width="18.28515625" bestFit="1" customWidth="1"/>
    <col min="47" max="47" width="39.7109375" bestFit="1" customWidth="1"/>
    <col min="48" max="48" width="37.5703125" bestFit="1" customWidth="1"/>
    <col min="49" max="49" width="41" bestFit="1" customWidth="1"/>
  </cols>
  <sheetData>
    <row r="1" spans="1:49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x14ac:dyDescent="0.25">
      <c r="A2" t="s">
        <v>48</v>
      </c>
      <c r="B2" t="s">
        <v>49</v>
      </c>
      <c r="C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 t="s">
        <v>73</v>
      </c>
      <c r="AB2" t="s">
        <v>74</v>
      </c>
      <c r="AC2" t="s">
        <v>75</v>
      </c>
      <c r="AD2" t="s">
        <v>76</v>
      </c>
      <c r="AE2" t="s">
        <v>77</v>
      </c>
      <c r="AF2" t="s">
        <v>78</v>
      </c>
      <c r="AG2" t="s">
        <v>79</v>
      </c>
      <c r="AH2" t="s">
        <v>80</v>
      </c>
      <c r="AI2" t="s">
        <v>81</v>
      </c>
      <c r="AJ2" t="s">
        <v>82</v>
      </c>
      <c r="AK2" t="s">
        <v>83</v>
      </c>
      <c r="AL2" t="s">
        <v>84</v>
      </c>
      <c r="AM2" t="s">
        <v>85</v>
      </c>
      <c r="AN2" t="s">
        <v>86</v>
      </c>
      <c r="AO2" t="s">
        <v>87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 t="s">
        <v>93</v>
      </c>
      <c r="AV2" t="s">
        <v>94</v>
      </c>
      <c r="AW2" t="s">
        <v>95</v>
      </c>
    </row>
    <row r="3" spans="1:49" hidden="1" x14ac:dyDescent="0.25">
      <c r="A3" t="s">
        <v>96</v>
      </c>
      <c r="B3" s="1">
        <v>46007</v>
      </c>
      <c r="C3" t="s">
        <v>97</v>
      </c>
      <c r="E3" s="1">
        <v>46007</v>
      </c>
      <c r="F3" s="1">
        <v>46008</v>
      </c>
      <c r="G3" t="s">
        <v>98</v>
      </c>
      <c r="H3" t="s">
        <v>99</v>
      </c>
      <c r="I3">
        <v>1</v>
      </c>
      <c r="AI3">
        <v>5062169</v>
      </c>
      <c r="AJ3">
        <v>84600000</v>
      </c>
      <c r="AK3">
        <v>4</v>
      </c>
      <c r="AO3">
        <v>5062169</v>
      </c>
      <c r="AP3">
        <v>84600000</v>
      </c>
      <c r="AQ3">
        <v>4</v>
      </c>
    </row>
    <row r="4" spans="1:49" hidden="1" x14ac:dyDescent="0.25">
      <c r="A4" t="s">
        <v>96</v>
      </c>
      <c r="B4" s="1">
        <v>46007</v>
      </c>
      <c r="C4" t="s">
        <v>100</v>
      </c>
      <c r="E4" s="1">
        <v>46007</v>
      </c>
      <c r="F4" s="1">
        <v>46008</v>
      </c>
      <c r="G4" t="s">
        <v>101</v>
      </c>
      <c r="H4" t="s">
        <v>99</v>
      </c>
      <c r="I4">
        <v>1</v>
      </c>
      <c r="AI4">
        <v>2516917</v>
      </c>
      <c r="AJ4">
        <v>177980000</v>
      </c>
      <c r="AK4">
        <v>7</v>
      </c>
      <c r="AO4">
        <v>2516917</v>
      </c>
      <c r="AP4">
        <v>177980000</v>
      </c>
      <c r="AQ4">
        <v>7</v>
      </c>
    </row>
    <row r="5" spans="1:49" hidden="1" x14ac:dyDescent="0.25">
      <c r="A5" t="s">
        <v>96</v>
      </c>
      <c r="B5" s="1">
        <v>46007</v>
      </c>
      <c r="C5" t="s">
        <v>102</v>
      </c>
      <c r="E5" s="1">
        <v>46007</v>
      </c>
      <c r="F5" s="1">
        <v>46008</v>
      </c>
      <c r="G5" t="s">
        <v>103</v>
      </c>
      <c r="H5" t="s">
        <v>99</v>
      </c>
      <c r="I5">
        <v>1</v>
      </c>
      <c r="AI5">
        <v>269642</v>
      </c>
      <c r="AJ5">
        <v>27000000</v>
      </c>
      <c r="AK5">
        <v>2</v>
      </c>
      <c r="AO5">
        <v>269642</v>
      </c>
      <c r="AP5">
        <v>27000000</v>
      </c>
      <c r="AQ5">
        <v>2</v>
      </c>
    </row>
    <row r="6" spans="1:49" hidden="1" x14ac:dyDescent="0.25">
      <c r="A6" t="s">
        <v>96</v>
      </c>
      <c r="B6" s="1">
        <v>46007</v>
      </c>
      <c r="C6" t="s">
        <v>104</v>
      </c>
      <c r="E6" s="1">
        <v>46007</v>
      </c>
      <c r="F6" s="1">
        <v>46008</v>
      </c>
      <c r="G6" t="s">
        <v>105</v>
      </c>
      <c r="H6" t="s">
        <v>99</v>
      </c>
      <c r="I6">
        <v>1</v>
      </c>
      <c r="AI6">
        <v>130456</v>
      </c>
      <c r="AJ6">
        <v>14080000</v>
      </c>
      <c r="AK6">
        <v>2</v>
      </c>
      <c r="AO6">
        <v>130456</v>
      </c>
      <c r="AP6">
        <v>14080000</v>
      </c>
      <c r="AQ6">
        <v>2</v>
      </c>
    </row>
    <row r="7" spans="1:49" hidden="1" x14ac:dyDescent="0.25">
      <c r="A7" t="s">
        <v>96</v>
      </c>
      <c r="B7" s="1">
        <v>46007</v>
      </c>
      <c r="C7" t="s">
        <v>106</v>
      </c>
      <c r="E7" s="1">
        <v>46007</v>
      </c>
      <c r="F7" s="1">
        <v>46008</v>
      </c>
      <c r="G7" t="s">
        <v>107</v>
      </c>
      <c r="H7" t="s">
        <v>99</v>
      </c>
      <c r="I7">
        <v>1</v>
      </c>
      <c r="AI7">
        <v>561223</v>
      </c>
      <c r="AJ7">
        <v>117360000</v>
      </c>
      <c r="AK7">
        <v>4</v>
      </c>
      <c r="AO7">
        <v>561223</v>
      </c>
      <c r="AP7">
        <v>117360000</v>
      </c>
      <c r="AQ7">
        <v>4</v>
      </c>
    </row>
    <row r="8" spans="1:49" hidden="1" x14ac:dyDescent="0.25">
      <c r="A8" t="s">
        <v>96</v>
      </c>
      <c r="B8" s="1">
        <v>46007</v>
      </c>
      <c r="C8" t="s">
        <v>108</v>
      </c>
      <c r="E8" s="1">
        <v>46007</v>
      </c>
      <c r="F8" s="1">
        <v>46008</v>
      </c>
      <c r="G8" t="s">
        <v>109</v>
      </c>
      <c r="H8" t="s">
        <v>99</v>
      </c>
      <c r="I8">
        <v>1</v>
      </c>
      <c r="AI8">
        <v>717726</v>
      </c>
      <c r="AJ8">
        <v>79810000</v>
      </c>
      <c r="AK8">
        <v>10</v>
      </c>
      <c r="AO8">
        <v>717726</v>
      </c>
      <c r="AP8">
        <v>79810000</v>
      </c>
      <c r="AQ8">
        <v>10</v>
      </c>
    </row>
    <row r="9" spans="1:49" hidden="1" x14ac:dyDescent="0.25">
      <c r="A9" t="s">
        <v>96</v>
      </c>
      <c r="B9" s="1">
        <v>46007</v>
      </c>
      <c r="C9" t="s">
        <v>110</v>
      </c>
      <c r="E9" s="1">
        <v>46007</v>
      </c>
      <c r="F9" s="1">
        <v>46008</v>
      </c>
      <c r="G9" t="s">
        <v>111</v>
      </c>
      <c r="H9" t="s">
        <v>99</v>
      </c>
      <c r="I9">
        <v>1</v>
      </c>
      <c r="AI9">
        <v>47388</v>
      </c>
      <c r="AJ9">
        <v>26900000</v>
      </c>
      <c r="AK9">
        <v>2</v>
      </c>
      <c r="AO9">
        <v>47388</v>
      </c>
      <c r="AP9">
        <v>26900000</v>
      </c>
      <c r="AQ9">
        <v>2</v>
      </c>
    </row>
    <row r="10" spans="1:49" hidden="1" x14ac:dyDescent="0.25">
      <c r="A10" t="s">
        <v>96</v>
      </c>
      <c r="B10" s="1">
        <v>46007</v>
      </c>
      <c r="C10" t="s">
        <v>112</v>
      </c>
      <c r="E10" s="1">
        <v>46007</v>
      </c>
      <c r="F10" s="1">
        <v>46008</v>
      </c>
      <c r="G10" t="s">
        <v>113</v>
      </c>
      <c r="H10" t="s">
        <v>99</v>
      </c>
      <c r="I10">
        <v>1</v>
      </c>
      <c r="AI10">
        <v>66173469</v>
      </c>
      <c r="AJ10">
        <v>1180500000</v>
      </c>
      <c r="AK10">
        <v>18</v>
      </c>
      <c r="AO10">
        <v>66173469</v>
      </c>
      <c r="AP10">
        <v>1180500000</v>
      </c>
      <c r="AQ10">
        <v>18</v>
      </c>
    </row>
    <row r="11" spans="1:49" hidden="1" x14ac:dyDescent="0.25">
      <c r="A11" t="s">
        <v>96</v>
      </c>
      <c r="B11" s="1">
        <v>46007</v>
      </c>
      <c r="C11" t="s">
        <v>114</v>
      </c>
      <c r="E11" s="1">
        <v>46007</v>
      </c>
      <c r="F11" s="1">
        <v>46008</v>
      </c>
      <c r="G11" t="s">
        <v>115</v>
      </c>
      <c r="H11" t="s">
        <v>99</v>
      </c>
      <c r="I11">
        <v>1</v>
      </c>
      <c r="AI11">
        <v>35298506</v>
      </c>
      <c r="AJ11">
        <v>18973230000</v>
      </c>
      <c r="AK11">
        <v>195</v>
      </c>
      <c r="AO11">
        <v>35298506</v>
      </c>
      <c r="AP11">
        <v>18973230000</v>
      </c>
      <c r="AQ11">
        <v>195</v>
      </c>
    </row>
    <row r="12" spans="1:49" hidden="1" x14ac:dyDescent="0.25">
      <c r="A12" t="s">
        <v>96</v>
      </c>
      <c r="B12" s="1">
        <v>46007</v>
      </c>
      <c r="C12" t="s">
        <v>116</v>
      </c>
      <c r="E12" s="1">
        <v>46007</v>
      </c>
      <c r="F12" s="1">
        <v>46008</v>
      </c>
      <c r="G12" t="s">
        <v>117</v>
      </c>
      <c r="H12" t="s">
        <v>99</v>
      </c>
      <c r="I12">
        <v>1</v>
      </c>
      <c r="AI12">
        <v>27326815</v>
      </c>
      <c r="AJ12">
        <v>563400000</v>
      </c>
      <c r="AK12">
        <v>11</v>
      </c>
      <c r="AO12">
        <v>27326815</v>
      </c>
      <c r="AP12">
        <v>563400000</v>
      </c>
      <c r="AQ12">
        <v>11</v>
      </c>
    </row>
    <row r="13" spans="1:49" hidden="1" x14ac:dyDescent="0.25">
      <c r="A13" t="s">
        <v>96</v>
      </c>
      <c r="B13" s="1">
        <v>46007</v>
      </c>
      <c r="C13" t="s">
        <v>118</v>
      </c>
      <c r="E13" s="1">
        <v>46007</v>
      </c>
      <c r="F13" s="1">
        <v>46008</v>
      </c>
      <c r="G13" t="s">
        <v>119</v>
      </c>
      <c r="H13" t="s">
        <v>99</v>
      </c>
      <c r="I13">
        <v>1</v>
      </c>
      <c r="AI13">
        <v>4335476</v>
      </c>
      <c r="AJ13">
        <v>107570000</v>
      </c>
      <c r="AK13">
        <v>5</v>
      </c>
      <c r="AO13">
        <v>4335476</v>
      </c>
      <c r="AP13">
        <v>107570000</v>
      </c>
      <c r="AQ13">
        <v>5</v>
      </c>
    </row>
    <row r="14" spans="1:49" hidden="1" x14ac:dyDescent="0.25">
      <c r="A14" t="s">
        <v>120</v>
      </c>
      <c r="B14" s="1">
        <v>46007</v>
      </c>
      <c r="C14" t="s">
        <v>121</v>
      </c>
      <c r="E14" s="1">
        <v>46007</v>
      </c>
      <c r="F14" s="1">
        <v>46008</v>
      </c>
      <c r="G14" t="s">
        <v>122</v>
      </c>
      <c r="H14" t="s">
        <v>99</v>
      </c>
      <c r="I14">
        <v>1</v>
      </c>
      <c r="L14">
        <v>485</v>
      </c>
      <c r="M14">
        <v>485</v>
      </c>
      <c r="N14">
        <v>490</v>
      </c>
      <c r="O14">
        <v>486</v>
      </c>
      <c r="P14">
        <v>488.27</v>
      </c>
      <c r="R14" s="1">
        <v>46006</v>
      </c>
      <c r="S14">
        <v>471.11</v>
      </c>
      <c r="T14">
        <v>465</v>
      </c>
      <c r="U14">
        <v>50.16</v>
      </c>
      <c r="V14">
        <v>50.13</v>
      </c>
      <c r="W14">
        <v>50.19</v>
      </c>
      <c r="X14">
        <v>50.19</v>
      </c>
      <c r="Y14">
        <v>50.148200000000003</v>
      </c>
      <c r="AB14">
        <v>4.5199999999999996</v>
      </c>
      <c r="AC14">
        <v>3.64</v>
      </c>
      <c r="AF14">
        <v>55000000</v>
      </c>
      <c r="AG14">
        <v>2758150500</v>
      </c>
      <c r="AH14">
        <v>8</v>
      </c>
      <c r="AO14">
        <v>55000000</v>
      </c>
      <c r="AP14">
        <v>2758150500</v>
      </c>
      <c r="AQ14">
        <v>8</v>
      </c>
    </row>
    <row r="15" spans="1:49" hidden="1" x14ac:dyDescent="0.25">
      <c r="A15" t="s">
        <v>96</v>
      </c>
      <c r="B15" s="1">
        <v>46007</v>
      </c>
      <c r="C15" t="s">
        <v>123</v>
      </c>
      <c r="E15" s="1">
        <v>46007</v>
      </c>
      <c r="F15" s="1">
        <v>46008</v>
      </c>
      <c r="G15" t="s">
        <v>124</v>
      </c>
      <c r="H15" t="s">
        <v>99</v>
      </c>
      <c r="I15">
        <v>1</v>
      </c>
      <c r="AI15">
        <v>18330</v>
      </c>
      <c r="AJ15">
        <v>1800000</v>
      </c>
      <c r="AK15">
        <v>1</v>
      </c>
      <c r="AO15">
        <v>18330</v>
      </c>
      <c r="AP15">
        <v>1800000</v>
      </c>
      <c r="AQ15">
        <v>1</v>
      </c>
    </row>
    <row r="16" spans="1:49" hidden="1" x14ac:dyDescent="0.25">
      <c r="A16" t="s">
        <v>96</v>
      </c>
      <c r="B16" s="1">
        <v>46007</v>
      </c>
      <c r="C16" t="s">
        <v>125</v>
      </c>
      <c r="E16" s="1">
        <v>46007</v>
      </c>
      <c r="F16" s="1">
        <v>46008</v>
      </c>
      <c r="G16" t="s">
        <v>126</v>
      </c>
      <c r="H16" t="s">
        <v>99</v>
      </c>
      <c r="I16">
        <v>1</v>
      </c>
      <c r="AI16">
        <v>437123</v>
      </c>
      <c r="AJ16">
        <v>61300000</v>
      </c>
      <c r="AK16">
        <v>3</v>
      </c>
      <c r="AO16">
        <v>437123</v>
      </c>
      <c r="AP16">
        <v>61300000</v>
      </c>
      <c r="AQ16">
        <v>3</v>
      </c>
    </row>
    <row r="17" spans="1:43" hidden="1" x14ac:dyDescent="0.25">
      <c r="A17" t="s">
        <v>96</v>
      </c>
      <c r="B17" s="1">
        <v>46007</v>
      </c>
      <c r="C17" t="s">
        <v>127</v>
      </c>
      <c r="E17" s="1">
        <v>46007</v>
      </c>
      <c r="F17" s="1">
        <v>46008</v>
      </c>
      <c r="G17" t="s">
        <v>128</v>
      </c>
      <c r="H17" t="s">
        <v>99</v>
      </c>
      <c r="I17">
        <v>1</v>
      </c>
      <c r="AI17">
        <v>14574</v>
      </c>
      <c r="AJ17">
        <v>4930000</v>
      </c>
      <c r="AK17">
        <v>2</v>
      </c>
      <c r="AO17">
        <v>14574</v>
      </c>
      <c r="AP17">
        <v>4930000</v>
      </c>
      <c r="AQ17">
        <v>2</v>
      </c>
    </row>
    <row r="18" spans="1:43" hidden="1" x14ac:dyDescent="0.25">
      <c r="A18" t="s">
        <v>96</v>
      </c>
      <c r="B18" s="1">
        <v>46007</v>
      </c>
      <c r="C18" t="s">
        <v>129</v>
      </c>
      <c r="E18" s="1">
        <v>46007</v>
      </c>
      <c r="F18" s="1">
        <v>46008</v>
      </c>
      <c r="G18" t="s">
        <v>130</v>
      </c>
      <c r="H18" t="s">
        <v>99</v>
      </c>
      <c r="I18">
        <v>1</v>
      </c>
      <c r="AI18">
        <v>257973</v>
      </c>
      <c r="AJ18">
        <v>9350000</v>
      </c>
      <c r="AK18">
        <v>3</v>
      </c>
      <c r="AO18">
        <v>257973</v>
      </c>
      <c r="AP18">
        <v>9350000</v>
      </c>
      <c r="AQ18">
        <v>3</v>
      </c>
    </row>
    <row r="19" spans="1:43" hidden="1" x14ac:dyDescent="0.25">
      <c r="A19" t="s">
        <v>96</v>
      </c>
      <c r="B19" s="1">
        <v>46007</v>
      </c>
      <c r="C19" t="s">
        <v>131</v>
      </c>
      <c r="E19" s="1">
        <v>46007</v>
      </c>
      <c r="F19" s="1">
        <v>46008</v>
      </c>
      <c r="G19" t="s">
        <v>132</v>
      </c>
      <c r="H19" t="s">
        <v>99</v>
      </c>
      <c r="I19">
        <v>1</v>
      </c>
      <c r="AI19">
        <v>1472128</v>
      </c>
      <c r="AJ19">
        <v>20520000</v>
      </c>
      <c r="AK19">
        <v>5</v>
      </c>
      <c r="AO19">
        <v>1472128</v>
      </c>
      <c r="AP19">
        <v>20520000</v>
      </c>
      <c r="AQ19">
        <v>5</v>
      </c>
    </row>
    <row r="20" spans="1:43" hidden="1" x14ac:dyDescent="0.25">
      <c r="A20" t="s">
        <v>96</v>
      </c>
      <c r="B20" s="1">
        <v>46007</v>
      </c>
      <c r="C20" t="s">
        <v>133</v>
      </c>
      <c r="E20" s="1">
        <v>46007</v>
      </c>
      <c r="F20" s="1">
        <v>46008</v>
      </c>
      <c r="G20" t="s">
        <v>134</v>
      </c>
      <c r="H20" t="s">
        <v>99</v>
      </c>
      <c r="I20">
        <v>1</v>
      </c>
      <c r="AI20">
        <v>5049413</v>
      </c>
      <c r="AJ20">
        <v>886100000</v>
      </c>
      <c r="AK20">
        <v>13</v>
      </c>
      <c r="AO20">
        <v>5049413</v>
      </c>
      <c r="AP20">
        <v>886100000</v>
      </c>
      <c r="AQ20">
        <v>13</v>
      </c>
    </row>
    <row r="21" spans="1:43" hidden="1" x14ac:dyDescent="0.25">
      <c r="A21" t="s">
        <v>96</v>
      </c>
      <c r="B21" s="1">
        <v>46007</v>
      </c>
      <c r="C21" t="s">
        <v>135</v>
      </c>
      <c r="E21" s="1">
        <v>46007</v>
      </c>
      <c r="F21" s="1">
        <v>46008</v>
      </c>
      <c r="G21" t="s">
        <v>136</v>
      </c>
      <c r="H21" t="s">
        <v>99</v>
      </c>
      <c r="I21">
        <v>1</v>
      </c>
      <c r="AI21">
        <v>97503</v>
      </c>
      <c r="AJ21">
        <v>1270000</v>
      </c>
      <c r="AK21">
        <v>5</v>
      </c>
      <c r="AO21">
        <v>97503</v>
      </c>
      <c r="AP21">
        <v>1270000</v>
      </c>
      <c r="AQ21">
        <v>5</v>
      </c>
    </row>
    <row r="22" spans="1:43" hidden="1" x14ac:dyDescent="0.25">
      <c r="A22" t="s">
        <v>96</v>
      </c>
      <c r="B22" s="1">
        <v>46007</v>
      </c>
      <c r="C22" t="s">
        <v>137</v>
      </c>
      <c r="E22" s="1">
        <v>46007</v>
      </c>
      <c r="F22" s="1">
        <v>46008</v>
      </c>
      <c r="G22" t="s">
        <v>138</v>
      </c>
      <c r="H22" t="s">
        <v>99</v>
      </c>
      <c r="I22">
        <v>1</v>
      </c>
      <c r="AI22">
        <v>15689794</v>
      </c>
      <c r="AJ22">
        <v>915900000</v>
      </c>
      <c r="AK22">
        <v>12</v>
      </c>
      <c r="AO22">
        <v>15689794</v>
      </c>
      <c r="AP22">
        <v>915900000</v>
      </c>
      <c r="AQ22">
        <v>12</v>
      </c>
    </row>
    <row r="23" spans="1:43" hidden="1" x14ac:dyDescent="0.25">
      <c r="A23" t="s">
        <v>96</v>
      </c>
      <c r="B23" s="1">
        <v>46007</v>
      </c>
      <c r="C23" t="s">
        <v>139</v>
      </c>
      <c r="E23" s="1">
        <v>46007</v>
      </c>
      <c r="F23" s="1">
        <v>46008</v>
      </c>
      <c r="G23" t="s">
        <v>140</v>
      </c>
      <c r="H23" t="s">
        <v>99</v>
      </c>
      <c r="I23">
        <v>1</v>
      </c>
      <c r="AI23">
        <v>345338</v>
      </c>
      <c r="AJ23">
        <v>14000000</v>
      </c>
      <c r="AK23">
        <v>1</v>
      </c>
      <c r="AO23">
        <v>345338</v>
      </c>
      <c r="AP23">
        <v>14000000</v>
      </c>
      <c r="AQ23">
        <v>1</v>
      </c>
    </row>
    <row r="24" spans="1:43" hidden="1" x14ac:dyDescent="0.25">
      <c r="A24" t="s">
        <v>96</v>
      </c>
      <c r="B24" s="1">
        <v>46007</v>
      </c>
      <c r="C24" t="s">
        <v>141</v>
      </c>
      <c r="E24" s="1">
        <v>46007</v>
      </c>
      <c r="F24" s="1">
        <v>46008</v>
      </c>
      <c r="G24" t="s">
        <v>142</v>
      </c>
      <c r="H24" t="s">
        <v>99</v>
      </c>
      <c r="I24">
        <v>1</v>
      </c>
      <c r="AI24">
        <v>109287</v>
      </c>
      <c r="AJ24">
        <v>59800000</v>
      </c>
      <c r="AK24">
        <v>3</v>
      </c>
      <c r="AO24">
        <v>109287</v>
      </c>
      <c r="AP24">
        <v>59800000</v>
      </c>
      <c r="AQ24">
        <v>3</v>
      </c>
    </row>
    <row r="25" spans="1:43" hidden="1" x14ac:dyDescent="0.25">
      <c r="A25" t="s">
        <v>96</v>
      </c>
      <c r="B25" s="1">
        <v>46007</v>
      </c>
      <c r="C25" t="s">
        <v>143</v>
      </c>
      <c r="E25" s="1">
        <v>46007</v>
      </c>
      <c r="F25" s="1">
        <v>46008</v>
      </c>
      <c r="G25" t="s">
        <v>144</v>
      </c>
      <c r="H25" t="s">
        <v>99</v>
      </c>
      <c r="I25">
        <v>1</v>
      </c>
      <c r="AI25">
        <v>50891</v>
      </c>
      <c r="AJ25">
        <v>1930000</v>
      </c>
      <c r="AK25">
        <v>3</v>
      </c>
      <c r="AO25">
        <v>50891</v>
      </c>
      <c r="AP25">
        <v>1930000</v>
      </c>
      <c r="AQ25">
        <v>3</v>
      </c>
    </row>
    <row r="26" spans="1:43" hidden="1" x14ac:dyDescent="0.25">
      <c r="A26" t="s">
        <v>145</v>
      </c>
      <c r="B26" s="1">
        <v>46007</v>
      </c>
      <c r="C26" t="s">
        <v>146</v>
      </c>
      <c r="E26" s="1">
        <v>46007</v>
      </c>
      <c r="F26" s="1">
        <v>46014</v>
      </c>
      <c r="G26" t="s">
        <v>147</v>
      </c>
      <c r="H26" t="s">
        <v>99</v>
      </c>
      <c r="I26">
        <v>7</v>
      </c>
      <c r="AJ26">
        <v>741100000</v>
      </c>
      <c r="AK26">
        <v>8</v>
      </c>
      <c r="AP26">
        <v>741100000</v>
      </c>
      <c r="AQ26">
        <v>8</v>
      </c>
    </row>
    <row r="27" spans="1:43" hidden="1" x14ac:dyDescent="0.25">
      <c r="A27" t="s">
        <v>145</v>
      </c>
      <c r="B27" s="1">
        <v>46007</v>
      </c>
      <c r="C27" t="s">
        <v>148</v>
      </c>
      <c r="E27" s="1">
        <v>46007</v>
      </c>
      <c r="F27" s="1">
        <v>46008</v>
      </c>
      <c r="G27" t="s">
        <v>147</v>
      </c>
      <c r="H27" t="s">
        <v>99</v>
      </c>
      <c r="I27">
        <v>1</v>
      </c>
      <c r="AJ27">
        <v>55873000000</v>
      </c>
      <c r="AK27">
        <v>644</v>
      </c>
      <c r="AP27">
        <v>55873000000</v>
      </c>
      <c r="AQ27">
        <v>644</v>
      </c>
    </row>
    <row r="28" spans="1:43" hidden="1" x14ac:dyDescent="0.25">
      <c r="A28" t="s">
        <v>96</v>
      </c>
      <c r="B28" s="1">
        <v>46007</v>
      </c>
      <c r="C28" t="s">
        <v>149</v>
      </c>
      <c r="E28" s="1">
        <v>46007</v>
      </c>
      <c r="F28" s="1">
        <v>46008</v>
      </c>
      <c r="G28" t="s">
        <v>150</v>
      </c>
      <c r="H28" t="s">
        <v>99</v>
      </c>
      <c r="I28">
        <v>1</v>
      </c>
      <c r="AI28">
        <v>9701</v>
      </c>
      <c r="AJ28">
        <v>240000</v>
      </c>
      <c r="AK28">
        <v>1</v>
      </c>
      <c r="AO28">
        <v>9701</v>
      </c>
      <c r="AP28">
        <v>240000</v>
      </c>
      <c r="AQ28">
        <v>1</v>
      </c>
    </row>
    <row r="29" spans="1:43" hidden="1" x14ac:dyDescent="0.25">
      <c r="A29" t="s">
        <v>96</v>
      </c>
      <c r="B29" s="1">
        <v>46007</v>
      </c>
      <c r="C29" t="s">
        <v>151</v>
      </c>
      <c r="E29" s="1">
        <v>46007</v>
      </c>
      <c r="F29" s="1">
        <v>46008</v>
      </c>
      <c r="G29" t="s">
        <v>152</v>
      </c>
      <c r="H29" t="s">
        <v>99</v>
      </c>
      <c r="I29">
        <v>1</v>
      </c>
      <c r="AI29">
        <v>78805367</v>
      </c>
      <c r="AJ29">
        <v>1347000000</v>
      </c>
      <c r="AK29">
        <v>15</v>
      </c>
      <c r="AO29">
        <v>78805367</v>
      </c>
      <c r="AP29">
        <v>1347000000</v>
      </c>
      <c r="AQ29">
        <v>15</v>
      </c>
    </row>
    <row r="30" spans="1:43" hidden="1" x14ac:dyDescent="0.25">
      <c r="A30" t="s">
        <v>96</v>
      </c>
      <c r="B30" s="1">
        <v>46007</v>
      </c>
      <c r="C30" t="s">
        <v>153</v>
      </c>
      <c r="E30" s="1">
        <v>46007</v>
      </c>
      <c r="F30" s="1">
        <v>46008</v>
      </c>
      <c r="G30" t="s">
        <v>154</v>
      </c>
      <c r="H30" t="s">
        <v>99</v>
      </c>
      <c r="I30">
        <v>1</v>
      </c>
      <c r="AI30">
        <v>4249193</v>
      </c>
      <c r="AJ30">
        <v>881720000</v>
      </c>
      <c r="AK30">
        <v>18</v>
      </c>
      <c r="AO30">
        <v>4249193</v>
      </c>
      <c r="AP30">
        <v>881720000</v>
      </c>
      <c r="AQ30">
        <v>18</v>
      </c>
    </row>
    <row r="31" spans="1:43" hidden="1" x14ac:dyDescent="0.25">
      <c r="A31" t="s">
        <v>155</v>
      </c>
      <c r="B31" s="1">
        <v>46007</v>
      </c>
      <c r="C31" t="s">
        <v>156</v>
      </c>
      <c r="E31" s="1">
        <v>46007</v>
      </c>
      <c r="F31" s="1">
        <v>46008</v>
      </c>
      <c r="G31" t="s">
        <v>157</v>
      </c>
      <c r="H31" t="s">
        <v>99</v>
      </c>
      <c r="I31">
        <v>1</v>
      </c>
      <c r="L31">
        <v>36</v>
      </c>
      <c r="M31">
        <v>30</v>
      </c>
      <c r="N31">
        <v>36</v>
      </c>
      <c r="O31">
        <v>35</v>
      </c>
      <c r="P31">
        <v>35.659999999999997</v>
      </c>
      <c r="R31" s="1">
        <v>46006</v>
      </c>
      <c r="S31">
        <v>35.590000000000003</v>
      </c>
      <c r="T31">
        <v>35</v>
      </c>
      <c r="AB31">
        <v>0</v>
      </c>
      <c r="AC31">
        <v>0.2</v>
      </c>
      <c r="AG31">
        <v>56640000</v>
      </c>
      <c r="AH31">
        <v>173</v>
      </c>
      <c r="AJ31">
        <v>23630000</v>
      </c>
      <c r="AK31">
        <v>77</v>
      </c>
      <c r="AP31">
        <v>80270000</v>
      </c>
      <c r="AQ31">
        <v>250</v>
      </c>
    </row>
    <row r="32" spans="1:43" hidden="1" x14ac:dyDescent="0.25">
      <c r="A32" t="s">
        <v>158</v>
      </c>
      <c r="B32" s="1">
        <v>46007</v>
      </c>
      <c r="C32" t="s">
        <v>159</v>
      </c>
      <c r="E32" s="1">
        <v>46007</v>
      </c>
      <c r="F32" s="1">
        <v>46008</v>
      </c>
      <c r="G32" t="s">
        <v>157</v>
      </c>
      <c r="H32" t="s">
        <v>99</v>
      </c>
      <c r="I32">
        <v>1</v>
      </c>
      <c r="L32">
        <v>37.700000000000003</v>
      </c>
      <c r="M32">
        <v>37.5</v>
      </c>
      <c r="N32">
        <v>37.770000000000003</v>
      </c>
      <c r="O32">
        <v>37.72</v>
      </c>
      <c r="P32">
        <v>37.72</v>
      </c>
      <c r="R32" s="1">
        <v>46006</v>
      </c>
      <c r="S32">
        <v>37.74</v>
      </c>
      <c r="T32">
        <v>37.75</v>
      </c>
      <c r="AB32">
        <v>-0.08</v>
      </c>
      <c r="AC32">
        <v>-0.05</v>
      </c>
      <c r="AG32">
        <v>854940000000</v>
      </c>
      <c r="AH32">
        <v>7536</v>
      </c>
      <c r="AJ32">
        <v>122834000000</v>
      </c>
      <c r="AK32">
        <v>888</v>
      </c>
      <c r="AP32">
        <v>977774000000</v>
      </c>
      <c r="AQ32">
        <v>8424</v>
      </c>
    </row>
    <row r="33" spans="1:45" hidden="1" x14ac:dyDescent="0.25">
      <c r="A33" t="s">
        <v>96</v>
      </c>
      <c r="B33" s="1">
        <v>46007</v>
      </c>
      <c r="C33" t="s">
        <v>160</v>
      </c>
      <c r="E33" s="1">
        <v>46007</v>
      </c>
      <c r="F33" s="1">
        <v>46008</v>
      </c>
      <c r="G33" t="s">
        <v>161</v>
      </c>
      <c r="H33" t="s">
        <v>99</v>
      </c>
      <c r="I33">
        <v>1</v>
      </c>
      <c r="AI33">
        <v>2030796</v>
      </c>
      <c r="AJ33">
        <v>175130000</v>
      </c>
      <c r="AK33">
        <v>6</v>
      </c>
      <c r="AO33">
        <v>2030796</v>
      </c>
      <c r="AP33">
        <v>175130000</v>
      </c>
      <c r="AQ33">
        <v>6</v>
      </c>
    </row>
    <row r="34" spans="1:45" hidden="1" x14ac:dyDescent="0.25">
      <c r="A34" t="s">
        <v>96</v>
      </c>
      <c r="B34" s="1">
        <v>46007</v>
      </c>
      <c r="C34" t="s">
        <v>162</v>
      </c>
      <c r="E34" s="1">
        <v>46007</v>
      </c>
      <c r="F34" s="1">
        <v>46008</v>
      </c>
      <c r="G34" t="s">
        <v>163</v>
      </c>
      <c r="H34" t="s">
        <v>99</v>
      </c>
      <c r="I34">
        <v>1</v>
      </c>
      <c r="AI34">
        <v>568024157</v>
      </c>
      <c r="AJ34">
        <v>1640550000</v>
      </c>
      <c r="AK34">
        <v>18</v>
      </c>
      <c r="AO34">
        <v>568024157</v>
      </c>
      <c r="AP34">
        <v>1640550000</v>
      </c>
      <c r="AQ34">
        <v>18</v>
      </c>
    </row>
    <row r="35" spans="1:45" hidden="1" x14ac:dyDescent="0.25">
      <c r="A35" t="s">
        <v>96</v>
      </c>
      <c r="B35" s="1">
        <v>46007</v>
      </c>
      <c r="C35" t="s">
        <v>164</v>
      </c>
      <c r="E35" s="1">
        <v>46007</v>
      </c>
      <c r="F35" s="1">
        <v>46008</v>
      </c>
      <c r="G35" t="s">
        <v>165</v>
      </c>
      <c r="H35" t="s">
        <v>99</v>
      </c>
      <c r="I35">
        <v>1</v>
      </c>
      <c r="AI35">
        <v>1304932</v>
      </c>
      <c r="AJ35">
        <v>52360000</v>
      </c>
      <c r="AK35">
        <v>3</v>
      </c>
      <c r="AO35">
        <v>1304932</v>
      </c>
      <c r="AP35">
        <v>52360000</v>
      </c>
      <c r="AQ35">
        <v>3</v>
      </c>
    </row>
    <row r="36" spans="1:45" hidden="1" x14ac:dyDescent="0.25">
      <c r="A36" t="s">
        <v>96</v>
      </c>
      <c r="B36" s="1">
        <v>46007</v>
      </c>
      <c r="C36" t="s">
        <v>166</v>
      </c>
      <c r="E36" s="1">
        <v>46007</v>
      </c>
      <c r="F36" s="1">
        <v>46008</v>
      </c>
      <c r="G36" t="s">
        <v>167</v>
      </c>
      <c r="H36" t="s">
        <v>99</v>
      </c>
      <c r="I36">
        <v>1</v>
      </c>
      <c r="AI36">
        <v>78659</v>
      </c>
      <c r="AJ36">
        <v>4050000</v>
      </c>
      <c r="AK36">
        <v>2</v>
      </c>
      <c r="AO36">
        <v>78659</v>
      </c>
      <c r="AP36">
        <v>4050000</v>
      </c>
      <c r="AQ36">
        <v>2</v>
      </c>
    </row>
    <row r="37" spans="1:45" hidden="1" x14ac:dyDescent="0.25">
      <c r="A37" t="s">
        <v>96</v>
      </c>
      <c r="B37" s="1">
        <v>46007</v>
      </c>
      <c r="C37" t="s">
        <v>168</v>
      </c>
      <c r="E37" s="1">
        <v>46007</v>
      </c>
      <c r="F37" s="1">
        <v>46008</v>
      </c>
      <c r="G37" t="s">
        <v>169</v>
      </c>
      <c r="H37" t="s">
        <v>99</v>
      </c>
      <c r="I37">
        <v>1</v>
      </c>
      <c r="AI37">
        <v>989129</v>
      </c>
      <c r="AJ37">
        <v>300200000</v>
      </c>
      <c r="AK37">
        <v>4</v>
      </c>
      <c r="AO37">
        <v>989129</v>
      </c>
      <c r="AP37">
        <v>300200000</v>
      </c>
      <c r="AQ37">
        <v>4</v>
      </c>
    </row>
    <row r="38" spans="1:45" hidden="1" x14ac:dyDescent="0.25">
      <c r="A38" t="s">
        <v>96</v>
      </c>
      <c r="B38" s="1">
        <v>46007</v>
      </c>
      <c r="C38" t="s">
        <v>170</v>
      </c>
      <c r="E38" s="1">
        <v>46007</v>
      </c>
      <c r="F38" s="1">
        <v>46008</v>
      </c>
      <c r="G38" t="s">
        <v>171</v>
      </c>
      <c r="H38" t="s">
        <v>99</v>
      </c>
      <c r="I38">
        <v>1</v>
      </c>
      <c r="AI38">
        <v>1780028</v>
      </c>
      <c r="AJ38">
        <v>180900000</v>
      </c>
      <c r="AK38">
        <v>5</v>
      </c>
      <c r="AO38">
        <v>1780028</v>
      </c>
      <c r="AP38">
        <v>180900000</v>
      </c>
      <c r="AQ38">
        <v>5</v>
      </c>
    </row>
    <row r="39" spans="1:45" hidden="1" x14ac:dyDescent="0.25">
      <c r="A39" t="s">
        <v>96</v>
      </c>
      <c r="B39" s="1">
        <v>46007</v>
      </c>
      <c r="C39" t="s">
        <v>172</v>
      </c>
      <c r="E39" s="1">
        <v>46007</v>
      </c>
      <c r="F39" s="1">
        <v>46008</v>
      </c>
      <c r="G39" t="s">
        <v>173</v>
      </c>
      <c r="H39" t="s">
        <v>99</v>
      </c>
      <c r="I39">
        <v>1</v>
      </c>
      <c r="AI39">
        <v>8813464</v>
      </c>
      <c r="AJ39">
        <v>2416460000</v>
      </c>
      <c r="AK39">
        <v>33</v>
      </c>
      <c r="AO39">
        <v>8813464</v>
      </c>
      <c r="AP39">
        <v>2416460000</v>
      </c>
      <c r="AQ39">
        <v>33</v>
      </c>
    </row>
    <row r="40" spans="1:45" hidden="1" x14ac:dyDescent="0.25">
      <c r="A40" t="s">
        <v>96</v>
      </c>
      <c r="B40" s="1">
        <v>46007</v>
      </c>
      <c r="C40" t="s">
        <v>174</v>
      </c>
      <c r="E40" s="1">
        <v>46007</v>
      </c>
      <c r="F40" s="1">
        <v>46008</v>
      </c>
      <c r="G40" t="s">
        <v>175</v>
      </c>
      <c r="H40" t="s">
        <v>99</v>
      </c>
      <c r="I40">
        <v>1</v>
      </c>
      <c r="AI40">
        <v>48193</v>
      </c>
      <c r="AJ40">
        <v>3400000</v>
      </c>
      <c r="AK40">
        <v>1</v>
      </c>
      <c r="AO40">
        <v>48193</v>
      </c>
      <c r="AP40">
        <v>3400000</v>
      </c>
      <c r="AQ40">
        <v>1</v>
      </c>
    </row>
    <row r="41" spans="1:45" hidden="1" x14ac:dyDescent="0.25">
      <c r="A41" t="s">
        <v>96</v>
      </c>
      <c r="B41" s="1">
        <v>46007</v>
      </c>
      <c r="C41" t="s">
        <v>176</v>
      </c>
      <c r="E41" s="1">
        <v>46007</v>
      </c>
      <c r="F41" s="1">
        <v>46008</v>
      </c>
      <c r="G41" t="s">
        <v>177</v>
      </c>
      <c r="H41" t="s">
        <v>99</v>
      </c>
      <c r="I41">
        <v>1</v>
      </c>
      <c r="AI41">
        <v>1719722</v>
      </c>
      <c r="AJ41">
        <v>62000000</v>
      </c>
      <c r="AK41">
        <v>3</v>
      </c>
      <c r="AO41">
        <v>1719722</v>
      </c>
      <c r="AP41">
        <v>62000000</v>
      </c>
      <c r="AQ41">
        <v>3</v>
      </c>
    </row>
    <row r="42" spans="1:45" s="2" customFormat="1" x14ac:dyDescent="0.25">
      <c r="A42" s="2" t="s">
        <v>178</v>
      </c>
      <c r="B42" s="3">
        <v>46007</v>
      </c>
      <c r="C42" s="2" t="s">
        <v>367</v>
      </c>
      <c r="D42" s="3">
        <f>DATE(MID(C42,8,2)+100,MID(C42,6,2),MID(C42,4,2))</f>
        <v>46064</v>
      </c>
      <c r="E42" s="3">
        <v>46007</v>
      </c>
      <c r="G42" s="2" t="s">
        <v>368</v>
      </c>
      <c r="H42" s="2" t="s">
        <v>99</v>
      </c>
      <c r="I42" s="2">
        <v>57</v>
      </c>
      <c r="J42" s="2">
        <v>57</v>
      </c>
      <c r="K42">
        <v>3.6401098900000002</v>
      </c>
      <c r="L42">
        <v>96.375</v>
      </c>
      <c r="M42">
        <v>96.375</v>
      </c>
      <c r="N42">
        <v>96.375</v>
      </c>
      <c r="O42">
        <v>96.375</v>
      </c>
      <c r="P42">
        <v>96.375</v>
      </c>
      <c r="Q42" s="2">
        <v>100.015</v>
      </c>
      <c r="R42" s="3">
        <v>46006</v>
      </c>
      <c r="S42" s="2">
        <v>96.35</v>
      </c>
      <c r="T42" s="2">
        <v>96.35</v>
      </c>
      <c r="U42" s="2">
        <v>33.840000000000003</v>
      </c>
      <c r="V42" s="2">
        <v>33.840000000000003</v>
      </c>
      <c r="W42" s="2">
        <v>33.840000000000003</v>
      </c>
      <c r="X42" s="2">
        <v>33.840000000000003</v>
      </c>
      <c r="Y42" s="2">
        <v>33.840000000000003</v>
      </c>
      <c r="Z42" s="2">
        <v>39.06</v>
      </c>
      <c r="AA42" s="2">
        <v>39.06</v>
      </c>
      <c r="AB42" s="2">
        <v>0.03</v>
      </c>
      <c r="AC42" s="2">
        <v>0.03</v>
      </c>
      <c r="AD42" s="2">
        <v>0.83</v>
      </c>
      <c r="AE42" s="2">
        <v>0.83</v>
      </c>
      <c r="AF42" s="2">
        <v>48000000</v>
      </c>
      <c r="AG42" s="2">
        <v>48007252.75</v>
      </c>
      <c r="AH42" s="2">
        <v>1</v>
      </c>
      <c r="AO42" s="2">
        <v>48000000</v>
      </c>
      <c r="AP42" s="2">
        <v>48007252.75</v>
      </c>
      <c r="AQ42" s="2">
        <v>1</v>
      </c>
      <c r="AR42" s="2">
        <v>90140582000</v>
      </c>
      <c r="AS42" s="2">
        <v>89636232493.929993</v>
      </c>
    </row>
    <row r="43" spans="1:45" s="2" customFormat="1" x14ac:dyDescent="0.25">
      <c r="A43" s="2" t="s">
        <v>178</v>
      </c>
      <c r="B43" s="3">
        <v>46007</v>
      </c>
      <c r="C43" s="2" t="s">
        <v>392</v>
      </c>
      <c r="D43" s="3">
        <f>DATE(MID(C43,8,2)+100,MID(C43,6,2),MID(C43,4,2))</f>
        <v>46071</v>
      </c>
      <c r="E43" s="3">
        <v>46007</v>
      </c>
      <c r="G43" s="2" t="s">
        <v>393</v>
      </c>
      <c r="H43" s="2" t="s">
        <v>99</v>
      </c>
      <c r="I43" s="2">
        <v>64</v>
      </c>
      <c r="J43" s="2">
        <v>64</v>
      </c>
      <c r="K43">
        <v>11.994505495</v>
      </c>
      <c r="L43">
        <v>99.95</v>
      </c>
      <c r="M43">
        <v>99.95</v>
      </c>
      <c r="N43">
        <v>100</v>
      </c>
      <c r="O43">
        <v>100</v>
      </c>
      <c r="P43">
        <v>99.998000000000005</v>
      </c>
      <c r="Q43" s="2">
        <v>111.99299999999999</v>
      </c>
      <c r="R43" s="3">
        <v>46006</v>
      </c>
      <c r="S43" s="2">
        <v>99.99</v>
      </c>
      <c r="T43" s="2">
        <v>100</v>
      </c>
      <c r="U43" s="2">
        <v>33.4</v>
      </c>
      <c r="V43" s="2">
        <v>33.130000000000003</v>
      </c>
      <c r="W43" s="2">
        <v>33.4</v>
      </c>
      <c r="X43" s="2">
        <v>33.130000000000003</v>
      </c>
      <c r="Y43" s="2">
        <v>33.14</v>
      </c>
      <c r="Z43" s="2">
        <v>37.99</v>
      </c>
      <c r="AA43" s="2">
        <v>38.01</v>
      </c>
      <c r="AB43" s="2">
        <v>0</v>
      </c>
      <c r="AC43" s="2">
        <v>0.01</v>
      </c>
      <c r="AD43" s="2">
        <v>-0.05</v>
      </c>
      <c r="AE43" s="2">
        <v>-0.18</v>
      </c>
      <c r="AF43" s="2">
        <v>131000000</v>
      </c>
      <c r="AG43" s="2">
        <v>146709802.18000001</v>
      </c>
      <c r="AH43" s="2">
        <v>6</v>
      </c>
      <c r="AO43" s="2">
        <v>131000000</v>
      </c>
      <c r="AP43" s="2">
        <v>146709802.18000001</v>
      </c>
      <c r="AQ43" s="2">
        <v>6</v>
      </c>
      <c r="AR43" s="2">
        <v>53212000000</v>
      </c>
      <c r="AS43" s="2">
        <v>56476652389.730003</v>
      </c>
    </row>
    <row r="44" spans="1:45" s="2" customFormat="1" x14ac:dyDescent="0.25">
      <c r="A44" s="2" t="s">
        <v>178</v>
      </c>
      <c r="B44" s="3">
        <v>46007</v>
      </c>
      <c r="C44" s="2" t="s">
        <v>179</v>
      </c>
      <c r="D44" s="3">
        <f>DATE(MID(C44,8,2)+100,MID(C44,6,2),MID(C44,4,2))</f>
        <v>46092</v>
      </c>
      <c r="E44" s="3">
        <v>46007</v>
      </c>
      <c r="G44" s="2" t="s">
        <v>180</v>
      </c>
      <c r="H44" s="2" t="s">
        <v>99</v>
      </c>
      <c r="I44" s="2">
        <v>85</v>
      </c>
      <c r="K44"/>
      <c r="L44">
        <v>92.763000000000005</v>
      </c>
      <c r="M44">
        <v>92.763000000000005</v>
      </c>
      <c r="N44">
        <v>92.783000000000001</v>
      </c>
      <c r="O44">
        <v>92.783000000000001</v>
      </c>
      <c r="P44">
        <v>92.769000000000005</v>
      </c>
      <c r="Q44" s="2">
        <v>92.769000000000005</v>
      </c>
      <c r="R44" s="3">
        <v>46006</v>
      </c>
      <c r="S44" s="2">
        <v>92.617999999999995</v>
      </c>
      <c r="T44" s="2">
        <v>92.644000000000005</v>
      </c>
      <c r="U44" s="2">
        <v>33.5</v>
      </c>
      <c r="V44" s="2">
        <v>33.4</v>
      </c>
      <c r="W44" s="2">
        <v>33.5</v>
      </c>
      <c r="X44" s="2">
        <v>33.4</v>
      </c>
      <c r="Y44" s="2">
        <v>33.47</v>
      </c>
      <c r="Z44" s="2">
        <v>37.94</v>
      </c>
      <c r="AA44" s="2">
        <v>38.03</v>
      </c>
      <c r="AB44" s="2">
        <v>0.15</v>
      </c>
      <c r="AC44" s="2">
        <v>0.16</v>
      </c>
      <c r="AD44" s="2">
        <v>-0.94</v>
      </c>
      <c r="AE44" s="2">
        <v>-1.1399999999999999</v>
      </c>
      <c r="AF44" s="2">
        <v>29000000</v>
      </c>
      <c r="AG44" s="2">
        <v>26903131.699999999</v>
      </c>
      <c r="AH44" s="2">
        <v>4</v>
      </c>
      <c r="AO44" s="2">
        <v>29000000</v>
      </c>
      <c r="AP44" s="2">
        <v>26903131.699999999</v>
      </c>
      <c r="AQ44" s="2">
        <v>4</v>
      </c>
      <c r="AR44" s="2">
        <v>28015000000</v>
      </c>
      <c r="AS44" s="2">
        <v>22622979714.040001</v>
      </c>
    </row>
    <row r="45" spans="1:45" hidden="1" x14ac:dyDescent="0.25">
      <c r="A45" t="s">
        <v>183</v>
      </c>
      <c r="B45" s="1">
        <v>46007</v>
      </c>
      <c r="C45" t="s">
        <v>184</v>
      </c>
      <c r="E45" s="1">
        <v>46007</v>
      </c>
      <c r="F45" s="1">
        <v>46008</v>
      </c>
      <c r="G45" t="s">
        <v>185</v>
      </c>
      <c r="H45" t="s">
        <v>99</v>
      </c>
      <c r="I45">
        <v>1</v>
      </c>
      <c r="L45">
        <v>37.75</v>
      </c>
      <c r="M45">
        <v>37.6</v>
      </c>
      <c r="N45">
        <v>37.75</v>
      </c>
      <c r="O45">
        <v>37.6</v>
      </c>
      <c r="P45">
        <v>37.729999999999997</v>
      </c>
      <c r="R45" s="1">
        <v>46006</v>
      </c>
      <c r="S45">
        <v>37.799999999999997</v>
      </c>
      <c r="T45">
        <v>37.75</v>
      </c>
      <c r="U45">
        <v>110</v>
      </c>
      <c r="V45">
        <v>100</v>
      </c>
      <c r="W45">
        <v>110</v>
      </c>
      <c r="X45">
        <v>100</v>
      </c>
      <c r="Y45">
        <v>104.80110000000001</v>
      </c>
      <c r="AB45">
        <v>-0.4</v>
      </c>
      <c r="AC45">
        <v>-0.19</v>
      </c>
      <c r="AF45">
        <v>4238377905</v>
      </c>
      <c r="AG45">
        <v>7055080000</v>
      </c>
      <c r="AH45">
        <v>126</v>
      </c>
      <c r="AO45">
        <v>4238377905</v>
      </c>
      <c r="AP45">
        <v>7055080000</v>
      </c>
      <c r="AQ45">
        <v>126</v>
      </c>
    </row>
    <row r="46" spans="1:45" hidden="1" x14ac:dyDescent="0.25">
      <c r="A46" t="s">
        <v>183</v>
      </c>
      <c r="B46" s="1">
        <v>46007</v>
      </c>
      <c r="C46" t="s">
        <v>186</v>
      </c>
      <c r="E46" s="1">
        <v>46007</v>
      </c>
      <c r="F46" s="1">
        <v>46014</v>
      </c>
      <c r="G46" t="s">
        <v>187</v>
      </c>
      <c r="H46" t="s">
        <v>99</v>
      </c>
      <c r="I46">
        <v>7</v>
      </c>
      <c r="L46">
        <v>55</v>
      </c>
      <c r="M46">
        <v>55</v>
      </c>
      <c r="N46">
        <v>55</v>
      </c>
      <c r="O46">
        <v>55</v>
      </c>
      <c r="P46">
        <v>55</v>
      </c>
      <c r="U46">
        <v>100</v>
      </c>
      <c r="V46">
        <v>100</v>
      </c>
      <c r="W46">
        <v>100</v>
      </c>
      <c r="X46">
        <v>100</v>
      </c>
      <c r="Y46">
        <v>100</v>
      </c>
      <c r="AF46">
        <v>1400554500</v>
      </c>
      <c r="AG46">
        <v>1500000000</v>
      </c>
      <c r="AH46">
        <v>15</v>
      </c>
      <c r="AO46">
        <v>1400554500</v>
      </c>
      <c r="AP46">
        <v>1500000000</v>
      </c>
      <c r="AQ46">
        <v>15</v>
      </c>
    </row>
    <row r="47" spans="1:45" hidden="1" x14ac:dyDescent="0.25">
      <c r="A47" t="s">
        <v>183</v>
      </c>
      <c r="B47" s="1">
        <v>46007</v>
      </c>
      <c r="C47" t="s">
        <v>188</v>
      </c>
      <c r="E47" s="1">
        <v>46007</v>
      </c>
      <c r="F47" s="1">
        <v>46045</v>
      </c>
      <c r="G47" t="s">
        <v>189</v>
      </c>
      <c r="H47" t="s">
        <v>99</v>
      </c>
      <c r="I47">
        <v>38</v>
      </c>
      <c r="L47">
        <v>38.35</v>
      </c>
      <c r="M47">
        <v>38.35</v>
      </c>
      <c r="N47">
        <v>38.35</v>
      </c>
      <c r="O47">
        <v>38.35</v>
      </c>
      <c r="P47">
        <v>38.35</v>
      </c>
      <c r="U47">
        <v>125</v>
      </c>
      <c r="V47">
        <v>125</v>
      </c>
      <c r="W47">
        <v>125</v>
      </c>
      <c r="X47">
        <v>125</v>
      </c>
      <c r="Y47">
        <v>125</v>
      </c>
      <c r="AF47">
        <v>766033600</v>
      </c>
      <c r="AG47">
        <v>1000000000</v>
      </c>
      <c r="AH47">
        <v>10</v>
      </c>
      <c r="AO47">
        <v>766033600</v>
      </c>
      <c r="AP47">
        <v>1000000000</v>
      </c>
      <c r="AQ47">
        <v>10</v>
      </c>
    </row>
    <row r="48" spans="1:45" hidden="1" x14ac:dyDescent="0.25">
      <c r="A48" t="s">
        <v>183</v>
      </c>
      <c r="B48" s="1">
        <v>46007</v>
      </c>
      <c r="C48" t="s">
        <v>190</v>
      </c>
      <c r="E48" s="1">
        <v>46007</v>
      </c>
      <c r="F48" s="1">
        <v>46008</v>
      </c>
      <c r="G48" t="s">
        <v>189</v>
      </c>
      <c r="H48" t="s">
        <v>99</v>
      </c>
      <c r="I48">
        <v>1</v>
      </c>
      <c r="L48">
        <v>37.35</v>
      </c>
      <c r="M48">
        <v>37.35</v>
      </c>
      <c r="N48">
        <v>37.35</v>
      </c>
      <c r="O48">
        <v>37.35</v>
      </c>
      <c r="P48">
        <v>37.35</v>
      </c>
      <c r="R48" s="1">
        <v>46001</v>
      </c>
      <c r="S48">
        <v>38.450000000000003</v>
      </c>
      <c r="T48">
        <v>38.450000000000003</v>
      </c>
      <c r="U48">
        <v>65</v>
      </c>
      <c r="V48">
        <v>65</v>
      </c>
      <c r="W48">
        <v>65</v>
      </c>
      <c r="X48">
        <v>65</v>
      </c>
      <c r="Y48">
        <v>65</v>
      </c>
      <c r="AB48">
        <v>-2.86</v>
      </c>
      <c r="AC48">
        <v>-2.86</v>
      </c>
      <c r="AF48">
        <v>325335435</v>
      </c>
      <c r="AG48">
        <v>229500000</v>
      </c>
      <c r="AH48">
        <v>8</v>
      </c>
      <c r="AO48">
        <v>325335435</v>
      </c>
      <c r="AP48">
        <v>229500000</v>
      </c>
      <c r="AQ48">
        <v>8</v>
      </c>
    </row>
    <row r="49" spans="1:45" hidden="1" x14ac:dyDescent="0.25">
      <c r="A49" t="s">
        <v>178</v>
      </c>
      <c r="B49" s="1">
        <v>46007</v>
      </c>
      <c r="C49" t="s">
        <v>191</v>
      </c>
      <c r="E49" s="1">
        <v>46007</v>
      </c>
      <c r="G49" t="s">
        <v>192</v>
      </c>
      <c r="H49" t="s">
        <v>99</v>
      </c>
      <c r="I49">
        <v>141</v>
      </c>
      <c r="J49">
        <v>141</v>
      </c>
      <c r="K49">
        <v>4.60686813199999</v>
      </c>
      <c r="L49">
        <v>101.65</v>
      </c>
      <c r="M49">
        <v>101.65</v>
      </c>
      <c r="N49">
        <v>101.65</v>
      </c>
      <c r="O49">
        <v>101.65</v>
      </c>
      <c r="P49">
        <v>101.65</v>
      </c>
      <c r="Q49">
        <v>106.25700000000001</v>
      </c>
      <c r="R49" s="1">
        <v>46000</v>
      </c>
      <c r="S49">
        <v>101.777</v>
      </c>
      <c r="T49">
        <v>101.777</v>
      </c>
      <c r="U49">
        <v>34.58</v>
      </c>
      <c r="V49">
        <v>34.58</v>
      </c>
      <c r="W49">
        <v>34.58</v>
      </c>
      <c r="X49">
        <v>34.58</v>
      </c>
      <c r="Y49">
        <v>34.58</v>
      </c>
      <c r="Z49">
        <v>38.340000000000003</v>
      </c>
      <c r="AA49">
        <v>38.340000000000003</v>
      </c>
      <c r="AB49">
        <v>-0.12</v>
      </c>
      <c r="AC49">
        <v>-0.12</v>
      </c>
      <c r="AD49">
        <v>0</v>
      </c>
      <c r="AE49">
        <v>0</v>
      </c>
      <c r="AF49">
        <v>400000</v>
      </c>
      <c r="AG49">
        <v>425027.47</v>
      </c>
      <c r="AH49">
        <v>2</v>
      </c>
      <c r="AI49">
        <v>10000</v>
      </c>
      <c r="AJ49">
        <v>10625.69</v>
      </c>
      <c r="AK49">
        <v>1</v>
      </c>
      <c r="AO49">
        <v>410000</v>
      </c>
      <c r="AP49">
        <v>435653.16</v>
      </c>
      <c r="AQ49">
        <v>3</v>
      </c>
      <c r="AR49">
        <v>1057750000</v>
      </c>
      <c r="AS49">
        <v>1177831461.5899999</v>
      </c>
    </row>
    <row r="50" spans="1:45" hidden="1" x14ac:dyDescent="0.25">
      <c r="A50" t="s">
        <v>178</v>
      </c>
      <c r="B50" s="1">
        <v>46007</v>
      </c>
      <c r="C50" t="s">
        <v>193</v>
      </c>
      <c r="E50" s="1">
        <v>46007</v>
      </c>
      <c r="G50" t="s">
        <v>194</v>
      </c>
      <c r="H50" t="s">
        <v>99</v>
      </c>
      <c r="I50">
        <v>659</v>
      </c>
      <c r="J50">
        <v>113</v>
      </c>
      <c r="K50">
        <v>7.5824175819999899</v>
      </c>
      <c r="L50">
        <v>100.15</v>
      </c>
      <c r="M50">
        <v>100.15</v>
      </c>
      <c r="N50">
        <v>100.15</v>
      </c>
      <c r="O50">
        <v>100.15</v>
      </c>
      <c r="P50">
        <v>100.15</v>
      </c>
      <c r="Q50">
        <v>107.732</v>
      </c>
      <c r="R50" s="1">
        <v>46006</v>
      </c>
      <c r="S50">
        <v>100.15</v>
      </c>
      <c r="T50">
        <v>100.15</v>
      </c>
      <c r="AB50">
        <v>0</v>
      </c>
      <c r="AC50">
        <v>0</v>
      </c>
      <c r="AF50">
        <v>45000000</v>
      </c>
      <c r="AG50">
        <v>48479587.920000002</v>
      </c>
      <c r="AH50">
        <v>3</v>
      </c>
      <c r="AI50">
        <v>110000</v>
      </c>
      <c r="AJ50">
        <v>118505.66</v>
      </c>
      <c r="AK50">
        <v>1</v>
      </c>
      <c r="AO50">
        <v>45110000</v>
      </c>
      <c r="AP50">
        <v>48598093.579999998</v>
      </c>
      <c r="AQ50">
        <v>4</v>
      </c>
      <c r="AR50">
        <v>1930710000</v>
      </c>
      <c r="AS50">
        <v>1996645346.3599999</v>
      </c>
    </row>
    <row r="51" spans="1:45" hidden="1" x14ac:dyDescent="0.25">
      <c r="A51" t="s">
        <v>178</v>
      </c>
      <c r="B51" s="1">
        <v>46007</v>
      </c>
      <c r="C51" t="s">
        <v>195</v>
      </c>
      <c r="E51" s="1">
        <v>46008</v>
      </c>
      <c r="G51" t="s">
        <v>194</v>
      </c>
      <c r="H51" t="s">
        <v>99</v>
      </c>
      <c r="I51">
        <v>658</v>
      </c>
      <c r="J51">
        <v>112</v>
      </c>
      <c r="K51">
        <v>7.692307692</v>
      </c>
      <c r="AI51">
        <v>66000000</v>
      </c>
      <c r="AJ51">
        <v>70881923.079999998</v>
      </c>
      <c r="AK51">
        <v>2</v>
      </c>
      <c r="AO51">
        <v>66000000</v>
      </c>
      <c r="AP51">
        <v>70881923.079999998</v>
      </c>
      <c r="AQ51">
        <v>2</v>
      </c>
      <c r="AR51">
        <v>359500000</v>
      </c>
      <c r="AS51">
        <v>369834793.30000001</v>
      </c>
    </row>
    <row r="52" spans="1:45" hidden="1" x14ac:dyDescent="0.25">
      <c r="A52" t="s">
        <v>178</v>
      </c>
      <c r="B52" s="1">
        <v>46007</v>
      </c>
      <c r="C52" t="s">
        <v>196</v>
      </c>
      <c r="E52" s="1">
        <v>46007</v>
      </c>
      <c r="G52" t="s">
        <v>197</v>
      </c>
      <c r="H52" t="s">
        <v>99</v>
      </c>
      <c r="I52">
        <v>477</v>
      </c>
      <c r="J52">
        <v>113</v>
      </c>
      <c r="K52">
        <v>8.0790659340000008</v>
      </c>
      <c r="L52">
        <v>107</v>
      </c>
      <c r="M52">
        <v>107</v>
      </c>
      <c r="N52">
        <v>107.3</v>
      </c>
      <c r="O52">
        <v>107.3</v>
      </c>
      <c r="P52">
        <v>107.001</v>
      </c>
      <c r="Q52">
        <v>115.08</v>
      </c>
      <c r="R52" s="1">
        <v>45995</v>
      </c>
      <c r="S52">
        <v>107.32</v>
      </c>
      <c r="T52">
        <v>107.5</v>
      </c>
      <c r="U52">
        <v>35.1</v>
      </c>
      <c r="V52">
        <v>34.81</v>
      </c>
      <c r="W52">
        <v>35.1</v>
      </c>
      <c r="X52">
        <v>34.81</v>
      </c>
      <c r="Y52">
        <v>35.1</v>
      </c>
      <c r="Z52">
        <v>37.840000000000003</v>
      </c>
      <c r="AA52">
        <v>38.18</v>
      </c>
      <c r="AB52">
        <v>-0.19</v>
      </c>
      <c r="AC52">
        <v>-0.3</v>
      </c>
      <c r="AD52">
        <v>0.03</v>
      </c>
      <c r="AE52">
        <v>0.39</v>
      </c>
      <c r="AF52">
        <v>50200000</v>
      </c>
      <c r="AG52">
        <v>57770291.100000001</v>
      </c>
      <c r="AH52">
        <v>2</v>
      </c>
      <c r="AO52">
        <v>50200000</v>
      </c>
      <c r="AP52">
        <v>57770291.100000001</v>
      </c>
      <c r="AQ52">
        <v>2</v>
      </c>
      <c r="AR52">
        <v>772980000</v>
      </c>
      <c r="AS52">
        <v>826453590.25999999</v>
      </c>
    </row>
    <row r="53" spans="1:45" hidden="1" x14ac:dyDescent="0.25">
      <c r="A53" t="s">
        <v>183</v>
      </c>
      <c r="B53" s="1">
        <v>46007</v>
      </c>
      <c r="C53" t="s">
        <v>198</v>
      </c>
      <c r="E53" s="1">
        <v>46007</v>
      </c>
      <c r="F53" s="1">
        <v>46008</v>
      </c>
      <c r="G53" t="s">
        <v>199</v>
      </c>
      <c r="H53" t="s">
        <v>99</v>
      </c>
      <c r="I53">
        <v>1</v>
      </c>
      <c r="L53">
        <v>37.75</v>
      </c>
      <c r="M53">
        <v>37.75</v>
      </c>
      <c r="N53">
        <v>37.75</v>
      </c>
      <c r="O53">
        <v>37.75</v>
      </c>
      <c r="P53">
        <v>37.75</v>
      </c>
      <c r="R53" s="1">
        <v>46006</v>
      </c>
      <c r="S53">
        <v>37.9</v>
      </c>
      <c r="T53">
        <v>37.9</v>
      </c>
      <c r="U53">
        <v>90</v>
      </c>
      <c r="V53">
        <v>90</v>
      </c>
      <c r="W53">
        <v>90</v>
      </c>
      <c r="X53">
        <v>90</v>
      </c>
      <c r="Y53">
        <v>90</v>
      </c>
      <c r="AB53">
        <v>-0.4</v>
      </c>
      <c r="AC53">
        <v>-0.4</v>
      </c>
      <c r="AF53">
        <v>549627695</v>
      </c>
      <c r="AG53">
        <v>2144000000</v>
      </c>
      <c r="AH53">
        <v>22</v>
      </c>
      <c r="AO53">
        <v>549627695</v>
      </c>
      <c r="AP53">
        <v>2144000000</v>
      </c>
      <c r="AQ53">
        <v>22</v>
      </c>
    </row>
    <row r="54" spans="1:45" hidden="1" x14ac:dyDescent="0.25">
      <c r="A54" t="s">
        <v>183</v>
      </c>
      <c r="B54" s="1">
        <v>46007</v>
      </c>
      <c r="C54" t="s">
        <v>200</v>
      </c>
      <c r="E54" s="1">
        <v>46007</v>
      </c>
      <c r="F54" s="1">
        <v>46015</v>
      </c>
      <c r="G54" t="s">
        <v>201</v>
      </c>
      <c r="H54" t="s">
        <v>99</v>
      </c>
      <c r="I54">
        <v>8</v>
      </c>
      <c r="L54">
        <v>55</v>
      </c>
      <c r="M54">
        <v>55</v>
      </c>
      <c r="N54">
        <v>55</v>
      </c>
      <c r="O54">
        <v>55</v>
      </c>
      <c r="P54">
        <v>55</v>
      </c>
      <c r="U54">
        <v>100</v>
      </c>
      <c r="V54">
        <v>100</v>
      </c>
      <c r="W54">
        <v>100</v>
      </c>
      <c r="X54">
        <v>100</v>
      </c>
      <c r="Y54">
        <v>100</v>
      </c>
      <c r="AF54">
        <v>2216902050</v>
      </c>
      <c r="AG54">
        <v>2361500000</v>
      </c>
      <c r="AH54">
        <v>24</v>
      </c>
      <c r="AO54">
        <v>2216902050</v>
      </c>
      <c r="AP54">
        <v>2361500000</v>
      </c>
      <c r="AQ54">
        <v>24</v>
      </c>
    </row>
    <row r="55" spans="1:45" hidden="1" x14ac:dyDescent="0.25">
      <c r="A55" t="s">
        <v>183</v>
      </c>
      <c r="B55" s="1">
        <v>46007</v>
      </c>
      <c r="C55" t="s">
        <v>202</v>
      </c>
      <c r="E55" s="1">
        <v>46007</v>
      </c>
      <c r="F55" s="1">
        <v>46008</v>
      </c>
      <c r="G55" t="s">
        <v>203</v>
      </c>
      <c r="H55" t="s">
        <v>99</v>
      </c>
      <c r="I55">
        <v>1</v>
      </c>
      <c r="L55">
        <v>37.35</v>
      </c>
      <c r="M55">
        <v>37.35</v>
      </c>
      <c r="N55">
        <v>37.35</v>
      </c>
      <c r="O55">
        <v>37.35</v>
      </c>
      <c r="P55">
        <v>37.35</v>
      </c>
      <c r="R55" s="1">
        <v>46001</v>
      </c>
      <c r="S55">
        <v>38.299999999999997</v>
      </c>
      <c r="T55">
        <v>38.299999999999997</v>
      </c>
      <c r="U55">
        <v>70</v>
      </c>
      <c r="V55">
        <v>70</v>
      </c>
      <c r="W55">
        <v>70</v>
      </c>
      <c r="X55">
        <v>70</v>
      </c>
      <c r="Y55">
        <v>70</v>
      </c>
      <c r="AB55">
        <v>-2.48</v>
      </c>
      <c r="AC55">
        <v>-2.48</v>
      </c>
      <c r="AF55">
        <v>19061295</v>
      </c>
      <c r="AG55">
        <v>13860000</v>
      </c>
      <c r="AH55">
        <v>1</v>
      </c>
      <c r="AO55">
        <v>19061295</v>
      </c>
      <c r="AP55">
        <v>13860000</v>
      </c>
      <c r="AQ55">
        <v>1</v>
      </c>
    </row>
    <row r="56" spans="1:45" hidden="1" x14ac:dyDescent="0.25">
      <c r="A56" t="s">
        <v>178</v>
      </c>
      <c r="B56" s="1">
        <v>46007</v>
      </c>
      <c r="C56" t="s">
        <v>204</v>
      </c>
      <c r="E56" s="1">
        <v>46007</v>
      </c>
      <c r="G56" t="s">
        <v>205</v>
      </c>
      <c r="H56" t="s">
        <v>99</v>
      </c>
      <c r="I56">
        <v>631</v>
      </c>
      <c r="J56">
        <v>85</v>
      </c>
      <c r="K56">
        <v>11.4587912089999</v>
      </c>
      <c r="L56">
        <v>101.175</v>
      </c>
      <c r="M56">
        <v>101.175</v>
      </c>
      <c r="N56">
        <v>101.175</v>
      </c>
      <c r="O56">
        <v>101.175</v>
      </c>
      <c r="P56">
        <v>101.175</v>
      </c>
      <c r="Q56">
        <v>112.634</v>
      </c>
      <c r="R56" s="1">
        <v>46006</v>
      </c>
      <c r="S56">
        <v>101.202</v>
      </c>
      <c r="T56">
        <v>101.2</v>
      </c>
      <c r="AB56">
        <v>-0.02</v>
      </c>
      <c r="AC56">
        <v>-0.03</v>
      </c>
      <c r="AF56">
        <v>100000</v>
      </c>
      <c r="AG56">
        <v>112633.79</v>
      </c>
      <c r="AH56">
        <v>1</v>
      </c>
      <c r="AI56">
        <v>2110000</v>
      </c>
      <c r="AJ56">
        <v>2376572.9900000002</v>
      </c>
      <c r="AK56">
        <v>3</v>
      </c>
      <c r="AO56">
        <v>2210000</v>
      </c>
      <c r="AP56">
        <v>2489206.7799999998</v>
      </c>
      <c r="AQ56">
        <v>4</v>
      </c>
      <c r="AR56">
        <v>11619100000</v>
      </c>
      <c r="AS56">
        <v>12098027773.6</v>
      </c>
    </row>
    <row r="57" spans="1:45" hidden="1" x14ac:dyDescent="0.25">
      <c r="A57" t="s">
        <v>178</v>
      </c>
      <c r="B57" s="1">
        <v>46007</v>
      </c>
      <c r="C57" t="s">
        <v>206</v>
      </c>
      <c r="E57" s="1">
        <v>46008</v>
      </c>
      <c r="G57" t="s">
        <v>205</v>
      </c>
      <c r="H57" t="s">
        <v>99</v>
      </c>
      <c r="I57">
        <v>630</v>
      </c>
      <c r="J57">
        <v>84</v>
      </c>
      <c r="K57">
        <v>11.576923077</v>
      </c>
      <c r="AI57">
        <v>405000000</v>
      </c>
      <c r="AJ57">
        <v>456544038.47000003</v>
      </c>
      <c r="AK57">
        <v>5</v>
      </c>
      <c r="AO57">
        <v>405000000</v>
      </c>
      <c r="AP57">
        <v>456544038.47000003</v>
      </c>
      <c r="AQ57">
        <v>5</v>
      </c>
      <c r="AR57">
        <v>3916730000</v>
      </c>
      <c r="AS57">
        <v>4204028840.8600001</v>
      </c>
    </row>
    <row r="58" spans="1:45" hidden="1" x14ac:dyDescent="0.25">
      <c r="A58" t="s">
        <v>183</v>
      </c>
      <c r="B58" s="1">
        <v>46007</v>
      </c>
      <c r="C58" t="s">
        <v>207</v>
      </c>
      <c r="E58" s="1">
        <v>46007</v>
      </c>
      <c r="F58" s="1">
        <v>46008</v>
      </c>
      <c r="G58" t="s">
        <v>205</v>
      </c>
      <c r="H58" t="s">
        <v>99</v>
      </c>
      <c r="I58">
        <v>1</v>
      </c>
      <c r="L58">
        <v>37.6</v>
      </c>
      <c r="M58">
        <v>37.299999999999997</v>
      </c>
      <c r="N58">
        <v>37.75</v>
      </c>
      <c r="O58">
        <v>37.42</v>
      </c>
      <c r="P58">
        <v>37.4</v>
      </c>
      <c r="R58" s="1">
        <v>46006</v>
      </c>
      <c r="S58">
        <v>37.83</v>
      </c>
      <c r="T58">
        <v>37.75</v>
      </c>
      <c r="U58">
        <v>102</v>
      </c>
      <c r="V58">
        <v>100</v>
      </c>
      <c r="W58">
        <v>102</v>
      </c>
      <c r="X58">
        <v>102</v>
      </c>
      <c r="Y58">
        <v>101.9943</v>
      </c>
      <c r="AB58">
        <v>-0.87</v>
      </c>
      <c r="AC58">
        <v>-1.1399999999999999</v>
      </c>
      <c r="AF58">
        <v>11024301220</v>
      </c>
      <c r="AG58">
        <v>12507410000</v>
      </c>
      <c r="AH58">
        <v>300</v>
      </c>
      <c r="AO58">
        <v>11024301220</v>
      </c>
      <c r="AP58">
        <v>12507410000</v>
      </c>
      <c r="AQ58">
        <v>300</v>
      </c>
    </row>
    <row r="59" spans="1:45" hidden="1" x14ac:dyDescent="0.25">
      <c r="A59" t="s">
        <v>183</v>
      </c>
      <c r="B59" s="1">
        <v>46007</v>
      </c>
      <c r="C59" t="s">
        <v>208</v>
      </c>
      <c r="E59" s="1">
        <v>46007</v>
      </c>
      <c r="F59" s="1">
        <v>46008</v>
      </c>
      <c r="G59" t="s">
        <v>209</v>
      </c>
      <c r="H59" t="s">
        <v>99</v>
      </c>
      <c r="I59">
        <v>1</v>
      </c>
      <c r="L59">
        <v>37.65</v>
      </c>
      <c r="M59">
        <v>37.65</v>
      </c>
      <c r="N59">
        <v>37.65</v>
      </c>
      <c r="O59">
        <v>37.65</v>
      </c>
      <c r="P59">
        <v>37.65</v>
      </c>
      <c r="R59" s="1">
        <v>46006</v>
      </c>
      <c r="S59">
        <v>37.9</v>
      </c>
      <c r="T59">
        <v>37.9</v>
      </c>
      <c r="U59">
        <v>110</v>
      </c>
      <c r="V59">
        <v>110</v>
      </c>
      <c r="W59">
        <v>110</v>
      </c>
      <c r="X59">
        <v>110</v>
      </c>
      <c r="Y59">
        <v>110</v>
      </c>
      <c r="AB59">
        <v>-0.66</v>
      </c>
      <c r="AC59">
        <v>-0.66</v>
      </c>
      <c r="AF59">
        <v>460167220</v>
      </c>
      <c r="AG59">
        <v>561050000</v>
      </c>
      <c r="AH59">
        <v>15</v>
      </c>
      <c r="AO59">
        <v>460167220</v>
      </c>
      <c r="AP59">
        <v>561050000</v>
      </c>
      <c r="AQ59">
        <v>15</v>
      </c>
    </row>
    <row r="60" spans="1:45" hidden="1" x14ac:dyDescent="0.25">
      <c r="A60" t="s">
        <v>183</v>
      </c>
      <c r="B60" s="1">
        <v>46007</v>
      </c>
      <c r="C60" t="s">
        <v>210</v>
      </c>
      <c r="E60" s="1">
        <v>46007</v>
      </c>
      <c r="F60" s="1">
        <v>46008</v>
      </c>
      <c r="G60" t="s">
        <v>211</v>
      </c>
      <c r="H60" t="s">
        <v>99</v>
      </c>
      <c r="I60">
        <v>1</v>
      </c>
      <c r="L60">
        <v>37.75</v>
      </c>
      <c r="M60">
        <v>37.6</v>
      </c>
      <c r="N60">
        <v>37.75</v>
      </c>
      <c r="O60">
        <v>37.6</v>
      </c>
      <c r="P60">
        <v>37.69</v>
      </c>
      <c r="R60" s="1">
        <v>46006</v>
      </c>
      <c r="S60">
        <v>37.75</v>
      </c>
      <c r="T60">
        <v>37.75</v>
      </c>
      <c r="U60">
        <v>110</v>
      </c>
      <c r="V60">
        <v>110</v>
      </c>
      <c r="W60">
        <v>110</v>
      </c>
      <c r="X60">
        <v>110</v>
      </c>
      <c r="Y60">
        <v>110</v>
      </c>
      <c r="AB60">
        <v>-0.4</v>
      </c>
      <c r="AC60">
        <v>-0.16</v>
      </c>
      <c r="AF60">
        <v>1480970465</v>
      </c>
      <c r="AG60">
        <v>1701010000</v>
      </c>
      <c r="AH60">
        <v>41</v>
      </c>
      <c r="AO60">
        <v>1480970465</v>
      </c>
      <c r="AP60">
        <v>1701010000</v>
      </c>
      <c r="AQ60">
        <v>41</v>
      </c>
    </row>
    <row r="61" spans="1:45" hidden="1" x14ac:dyDescent="0.25">
      <c r="A61" t="s">
        <v>183</v>
      </c>
      <c r="B61" s="1">
        <v>46007</v>
      </c>
      <c r="C61" t="s">
        <v>212</v>
      </c>
      <c r="E61" s="1">
        <v>46007</v>
      </c>
      <c r="F61" s="1">
        <v>46027</v>
      </c>
      <c r="G61" t="s">
        <v>213</v>
      </c>
      <c r="H61" t="s">
        <v>99</v>
      </c>
      <c r="I61">
        <v>20</v>
      </c>
      <c r="L61">
        <v>38.299999999999997</v>
      </c>
      <c r="M61">
        <v>38.299999999999997</v>
      </c>
      <c r="N61">
        <v>38.35</v>
      </c>
      <c r="O61">
        <v>38.35</v>
      </c>
      <c r="P61">
        <v>38.31</v>
      </c>
      <c r="U61">
        <v>110</v>
      </c>
      <c r="V61">
        <v>110</v>
      </c>
      <c r="W61">
        <v>110</v>
      </c>
      <c r="X61">
        <v>110</v>
      </c>
      <c r="Y61">
        <v>110</v>
      </c>
      <c r="AF61">
        <v>1939077030</v>
      </c>
      <c r="AG61">
        <v>2200000000</v>
      </c>
      <c r="AH61">
        <v>22</v>
      </c>
      <c r="AO61">
        <v>1939077030</v>
      </c>
      <c r="AP61">
        <v>2200000000</v>
      </c>
      <c r="AQ61">
        <v>22</v>
      </c>
    </row>
    <row r="62" spans="1:45" hidden="1" x14ac:dyDescent="0.25">
      <c r="A62" t="s">
        <v>183</v>
      </c>
      <c r="B62" s="1">
        <v>46007</v>
      </c>
      <c r="C62" t="s">
        <v>214</v>
      </c>
      <c r="E62" s="1">
        <v>46007</v>
      </c>
      <c r="F62" s="1">
        <v>46008</v>
      </c>
      <c r="G62" t="s">
        <v>215</v>
      </c>
      <c r="H62" t="s">
        <v>99</v>
      </c>
      <c r="I62">
        <v>1</v>
      </c>
      <c r="L62">
        <v>37.35</v>
      </c>
      <c r="M62">
        <v>37.35</v>
      </c>
      <c r="N62">
        <v>37.35</v>
      </c>
      <c r="O62">
        <v>37.35</v>
      </c>
      <c r="P62">
        <v>37.35</v>
      </c>
      <c r="R62" s="1">
        <v>46001</v>
      </c>
      <c r="S62">
        <v>38.42</v>
      </c>
      <c r="T62">
        <v>38.299999999999997</v>
      </c>
      <c r="U62">
        <v>75</v>
      </c>
      <c r="V62">
        <v>75</v>
      </c>
      <c r="W62">
        <v>75</v>
      </c>
      <c r="X62">
        <v>75</v>
      </c>
      <c r="Y62">
        <v>75</v>
      </c>
      <c r="AB62">
        <v>-2.48</v>
      </c>
      <c r="AC62">
        <v>-2.79</v>
      </c>
      <c r="AF62">
        <v>5982820</v>
      </c>
      <c r="AG62">
        <v>5000000</v>
      </c>
      <c r="AH62">
        <v>1</v>
      </c>
      <c r="AO62">
        <v>5982820</v>
      </c>
      <c r="AP62">
        <v>5000000</v>
      </c>
      <c r="AQ62">
        <v>1</v>
      </c>
    </row>
    <row r="63" spans="1:45" hidden="1" x14ac:dyDescent="0.25">
      <c r="A63" t="s">
        <v>178</v>
      </c>
      <c r="B63" s="1">
        <v>46007</v>
      </c>
      <c r="C63" t="s">
        <v>216</v>
      </c>
      <c r="E63" s="1">
        <v>46007</v>
      </c>
      <c r="G63" t="s">
        <v>217</v>
      </c>
      <c r="H63" t="s">
        <v>99</v>
      </c>
      <c r="I63">
        <v>120</v>
      </c>
      <c r="J63">
        <v>120</v>
      </c>
      <c r="K63">
        <v>6.89153846199999</v>
      </c>
      <c r="AI63">
        <v>85250000</v>
      </c>
      <c r="AJ63">
        <v>92441760.540000007</v>
      </c>
      <c r="AK63">
        <v>2</v>
      </c>
      <c r="AO63">
        <v>85250000</v>
      </c>
      <c r="AP63">
        <v>92441760.540000007</v>
      </c>
      <c r="AQ63">
        <v>2</v>
      </c>
      <c r="AR63">
        <v>1317740000</v>
      </c>
      <c r="AS63">
        <v>1496996112.3199999</v>
      </c>
    </row>
    <row r="64" spans="1:45" hidden="1" x14ac:dyDescent="0.25">
      <c r="A64" t="s">
        <v>183</v>
      </c>
      <c r="B64" s="1">
        <v>46007</v>
      </c>
      <c r="C64" t="s">
        <v>218</v>
      </c>
      <c r="E64" s="1">
        <v>46007</v>
      </c>
      <c r="F64" s="1">
        <v>46008</v>
      </c>
      <c r="G64" t="s">
        <v>219</v>
      </c>
      <c r="H64" t="s">
        <v>99</v>
      </c>
      <c r="I64">
        <v>1</v>
      </c>
      <c r="L64">
        <v>37.5</v>
      </c>
      <c r="M64">
        <v>37.5</v>
      </c>
      <c r="N64">
        <v>37.5</v>
      </c>
      <c r="O64">
        <v>37.5</v>
      </c>
      <c r="P64">
        <v>37.5</v>
      </c>
      <c r="R64" s="1">
        <v>46006</v>
      </c>
      <c r="S64">
        <v>37.700000000000003</v>
      </c>
      <c r="T64">
        <v>37.700000000000003</v>
      </c>
      <c r="U64">
        <v>102</v>
      </c>
      <c r="V64">
        <v>102</v>
      </c>
      <c r="W64">
        <v>102</v>
      </c>
      <c r="X64">
        <v>102</v>
      </c>
      <c r="Y64">
        <v>102</v>
      </c>
      <c r="AB64">
        <v>-0.53</v>
      </c>
      <c r="AC64">
        <v>-0.53</v>
      </c>
      <c r="AF64">
        <v>898818765</v>
      </c>
      <c r="AG64">
        <v>1000000000</v>
      </c>
      <c r="AH64">
        <v>30</v>
      </c>
      <c r="AO64">
        <v>898818765</v>
      </c>
      <c r="AP64">
        <v>1000000000</v>
      </c>
      <c r="AQ64">
        <v>30</v>
      </c>
    </row>
    <row r="65" spans="1:45" hidden="1" x14ac:dyDescent="0.25">
      <c r="A65" t="s">
        <v>178</v>
      </c>
      <c r="B65" s="1">
        <v>46007</v>
      </c>
      <c r="C65" t="s">
        <v>220</v>
      </c>
      <c r="E65" s="1">
        <v>46007</v>
      </c>
      <c r="G65" t="s">
        <v>221</v>
      </c>
      <c r="H65" t="s">
        <v>99</v>
      </c>
      <c r="I65">
        <v>1128</v>
      </c>
      <c r="J65">
        <v>36</v>
      </c>
      <c r="K65">
        <v>11.503516484</v>
      </c>
      <c r="L65">
        <v>94.463999999999999</v>
      </c>
      <c r="M65">
        <v>94.463999999999999</v>
      </c>
      <c r="N65">
        <v>94.463999999999999</v>
      </c>
      <c r="O65">
        <v>94.463999999999999</v>
      </c>
      <c r="P65">
        <v>94.463999999999999</v>
      </c>
      <c r="Q65">
        <v>105.968</v>
      </c>
      <c r="R65" s="1">
        <v>46003</v>
      </c>
      <c r="S65">
        <v>102.021</v>
      </c>
      <c r="T65">
        <v>102.021</v>
      </c>
      <c r="U65">
        <v>31.52</v>
      </c>
      <c r="V65">
        <v>31.52</v>
      </c>
      <c r="W65">
        <v>31.52</v>
      </c>
      <c r="X65">
        <v>31.52</v>
      </c>
      <c r="Y65">
        <v>31.52</v>
      </c>
      <c r="Z65">
        <v>34</v>
      </c>
      <c r="AA65">
        <v>34</v>
      </c>
      <c r="AB65">
        <v>-7.41</v>
      </c>
      <c r="AC65">
        <v>-7.41</v>
      </c>
      <c r="AD65">
        <v>15.29</v>
      </c>
      <c r="AE65">
        <v>15.29</v>
      </c>
      <c r="AF65">
        <v>10000</v>
      </c>
      <c r="AG65">
        <v>10596.75</v>
      </c>
      <c r="AH65">
        <v>1</v>
      </c>
      <c r="AO65">
        <v>10000</v>
      </c>
      <c r="AP65">
        <v>10596.75</v>
      </c>
      <c r="AQ65">
        <v>1</v>
      </c>
      <c r="AR65">
        <v>470020000</v>
      </c>
      <c r="AS65">
        <v>497758672.63999999</v>
      </c>
    </row>
    <row r="66" spans="1:45" hidden="1" x14ac:dyDescent="0.25">
      <c r="A66" t="s">
        <v>183</v>
      </c>
      <c r="B66" s="1">
        <v>46007</v>
      </c>
      <c r="C66" t="s">
        <v>222</v>
      </c>
      <c r="E66" s="1">
        <v>46007</v>
      </c>
      <c r="F66" s="1">
        <v>46008</v>
      </c>
      <c r="G66" t="s">
        <v>223</v>
      </c>
      <c r="H66" t="s">
        <v>99</v>
      </c>
      <c r="I66">
        <v>1</v>
      </c>
      <c r="L66">
        <v>37.6</v>
      </c>
      <c r="M66">
        <v>37.299999999999997</v>
      </c>
      <c r="N66">
        <v>37.6</v>
      </c>
      <c r="O66">
        <v>37.380000000000003</v>
      </c>
      <c r="P66">
        <v>37.46</v>
      </c>
      <c r="R66" s="1">
        <v>46006</v>
      </c>
      <c r="S66">
        <v>37.81</v>
      </c>
      <c r="T66">
        <v>37.25</v>
      </c>
      <c r="U66">
        <v>105</v>
      </c>
      <c r="V66">
        <v>105</v>
      </c>
      <c r="W66">
        <v>105</v>
      </c>
      <c r="X66">
        <v>105</v>
      </c>
      <c r="Y66">
        <v>105</v>
      </c>
      <c r="AB66">
        <v>0.35</v>
      </c>
      <c r="AC66">
        <v>-0.93</v>
      </c>
      <c r="AF66">
        <v>6874847920</v>
      </c>
      <c r="AG66">
        <v>8138490000</v>
      </c>
      <c r="AH66">
        <v>127</v>
      </c>
      <c r="AO66">
        <v>6874847920</v>
      </c>
      <c r="AP66">
        <v>8138490000</v>
      </c>
      <c r="AQ66">
        <v>127</v>
      </c>
    </row>
    <row r="67" spans="1:45" hidden="1" x14ac:dyDescent="0.25">
      <c r="A67" t="s">
        <v>183</v>
      </c>
      <c r="B67" s="1">
        <v>46007</v>
      </c>
      <c r="C67" t="s">
        <v>224</v>
      </c>
      <c r="E67" s="1">
        <v>46007</v>
      </c>
      <c r="F67" s="1">
        <v>46028</v>
      </c>
      <c r="G67" t="s">
        <v>225</v>
      </c>
      <c r="H67" t="s">
        <v>99</v>
      </c>
      <c r="I67">
        <v>21</v>
      </c>
      <c r="L67">
        <v>38.25</v>
      </c>
      <c r="M67">
        <v>38.25</v>
      </c>
      <c r="N67">
        <v>38.25</v>
      </c>
      <c r="O67">
        <v>38.25</v>
      </c>
      <c r="P67">
        <v>38.25</v>
      </c>
      <c r="U67">
        <v>135</v>
      </c>
      <c r="V67">
        <v>135</v>
      </c>
      <c r="W67">
        <v>135</v>
      </c>
      <c r="X67">
        <v>135</v>
      </c>
      <c r="Y67">
        <v>135</v>
      </c>
      <c r="AF67">
        <v>36279555</v>
      </c>
      <c r="AG67">
        <v>50000000</v>
      </c>
      <c r="AH67">
        <v>1</v>
      </c>
      <c r="AO67">
        <v>36279555</v>
      </c>
      <c r="AP67">
        <v>50000000</v>
      </c>
      <c r="AQ67">
        <v>1</v>
      </c>
    </row>
    <row r="68" spans="1:45" hidden="1" x14ac:dyDescent="0.25">
      <c r="A68" t="s">
        <v>183</v>
      </c>
      <c r="B68" s="1">
        <v>46007</v>
      </c>
      <c r="C68" t="s">
        <v>226</v>
      </c>
      <c r="E68" s="1">
        <v>46007</v>
      </c>
      <c r="F68" s="1">
        <v>46037</v>
      </c>
      <c r="G68" t="s">
        <v>225</v>
      </c>
      <c r="H68" t="s">
        <v>99</v>
      </c>
      <c r="I68">
        <v>30</v>
      </c>
      <c r="L68">
        <v>38.35</v>
      </c>
      <c r="M68">
        <v>38.35</v>
      </c>
      <c r="N68">
        <v>38.35</v>
      </c>
      <c r="O68">
        <v>38.35</v>
      </c>
      <c r="P68">
        <v>38.35</v>
      </c>
      <c r="U68">
        <v>135</v>
      </c>
      <c r="V68">
        <v>135</v>
      </c>
      <c r="W68">
        <v>135</v>
      </c>
      <c r="X68">
        <v>135</v>
      </c>
      <c r="Y68">
        <v>135</v>
      </c>
      <c r="AF68">
        <v>203165510</v>
      </c>
      <c r="AG68">
        <v>280000000</v>
      </c>
      <c r="AH68">
        <v>6</v>
      </c>
      <c r="AO68">
        <v>203165510</v>
      </c>
      <c r="AP68">
        <v>280000000</v>
      </c>
      <c r="AQ68">
        <v>6</v>
      </c>
    </row>
    <row r="69" spans="1:45" hidden="1" x14ac:dyDescent="0.25">
      <c r="A69" t="s">
        <v>178</v>
      </c>
      <c r="B69" s="1">
        <v>46007</v>
      </c>
      <c r="C69" t="s">
        <v>227</v>
      </c>
      <c r="E69" s="1">
        <v>46007</v>
      </c>
      <c r="G69" t="s">
        <v>228</v>
      </c>
      <c r="H69" t="s">
        <v>99</v>
      </c>
      <c r="I69">
        <v>64</v>
      </c>
      <c r="J69">
        <v>64</v>
      </c>
      <c r="L69">
        <v>5930</v>
      </c>
      <c r="M69">
        <v>5930</v>
      </c>
      <c r="N69">
        <v>5930</v>
      </c>
      <c r="O69">
        <v>5930</v>
      </c>
      <c r="P69">
        <v>5930</v>
      </c>
      <c r="Q69">
        <v>5930</v>
      </c>
      <c r="R69" s="1">
        <v>46006</v>
      </c>
      <c r="S69">
        <v>5985</v>
      </c>
      <c r="T69">
        <v>5985</v>
      </c>
      <c r="AB69">
        <v>-0.92</v>
      </c>
      <c r="AC69">
        <v>-0.92</v>
      </c>
      <c r="AF69">
        <v>5970</v>
      </c>
      <c r="AG69">
        <v>35402100</v>
      </c>
      <c r="AH69">
        <v>1</v>
      </c>
      <c r="AO69">
        <v>5970</v>
      </c>
      <c r="AP69">
        <v>35402100</v>
      </c>
      <c r="AQ69">
        <v>1</v>
      </c>
      <c r="AR69">
        <v>18261235</v>
      </c>
      <c r="AS69">
        <v>60402615104.839996</v>
      </c>
    </row>
    <row r="70" spans="1:45" hidden="1" x14ac:dyDescent="0.25">
      <c r="A70" t="s">
        <v>178</v>
      </c>
      <c r="B70" s="1">
        <v>46007</v>
      </c>
      <c r="C70" t="s">
        <v>229</v>
      </c>
      <c r="E70" s="1">
        <v>46007</v>
      </c>
      <c r="G70" t="s">
        <v>230</v>
      </c>
      <c r="H70" t="s">
        <v>99</v>
      </c>
      <c r="I70">
        <v>92</v>
      </c>
      <c r="J70">
        <v>92</v>
      </c>
      <c r="L70">
        <v>5930</v>
      </c>
      <c r="M70">
        <v>5930</v>
      </c>
      <c r="N70">
        <v>5930</v>
      </c>
      <c r="O70">
        <v>5930</v>
      </c>
      <c r="P70">
        <v>5930</v>
      </c>
      <c r="Q70">
        <v>5930</v>
      </c>
      <c r="R70" s="1">
        <v>46006</v>
      </c>
      <c r="S70">
        <v>5980</v>
      </c>
      <c r="T70">
        <v>5980</v>
      </c>
      <c r="AB70">
        <v>-0.84</v>
      </c>
      <c r="AC70">
        <v>-0.84</v>
      </c>
      <c r="AF70">
        <v>6965</v>
      </c>
      <c r="AG70">
        <v>41302450</v>
      </c>
      <c r="AH70">
        <v>1</v>
      </c>
      <c r="AO70">
        <v>6965</v>
      </c>
      <c r="AP70">
        <v>41302450</v>
      </c>
      <c r="AQ70">
        <v>1</v>
      </c>
      <c r="AR70">
        <v>13214595</v>
      </c>
      <c r="AS70">
        <v>43992253439.800003</v>
      </c>
    </row>
    <row r="71" spans="1:45" hidden="1" x14ac:dyDescent="0.25">
      <c r="A71" t="s">
        <v>183</v>
      </c>
      <c r="B71" s="1">
        <v>46007</v>
      </c>
      <c r="C71" t="s">
        <v>231</v>
      </c>
      <c r="E71" s="1">
        <v>46007</v>
      </c>
      <c r="F71" s="1">
        <v>46010</v>
      </c>
      <c r="G71" t="s">
        <v>232</v>
      </c>
      <c r="H71" t="s">
        <v>99</v>
      </c>
      <c r="I71">
        <v>3</v>
      </c>
      <c r="L71">
        <v>35</v>
      </c>
      <c r="M71">
        <v>35</v>
      </c>
      <c r="N71">
        <v>35</v>
      </c>
      <c r="O71">
        <v>35</v>
      </c>
      <c r="P71">
        <v>35</v>
      </c>
      <c r="U71">
        <v>70</v>
      </c>
      <c r="V71">
        <v>70</v>
      </c>
      <c r="W71">
        <v>70</v>
      </c>
      <c r="X71">
        <v>70</v>
      </c>
      <c r="Y71">
        <v>70</v>
      </c>
      <c r="AF71">
        <v>1045468030</v>
      </c>
      <c r="AG71">
        <v>772000000</v>
      </c>
      <c r="AH71">
        <v>10</v>
      </c>
      <c r="AO71">
        <v>1045468030</v>
      </c>
      <c r="AP71">
        <v>772000000</v>
      </c>
      <c r="AQ71">
        <v>10</v>
      </c>
    </row>
    <row r="72" spans="1:45" hidden="1" x14ac:dyDescent="0.25">
      <c r="A72" t="s">
        <v>183</v>
      </c>
      <c r="B72" s="1">
        <v>46007</v>
      </c>
      <c r="C72" t="s">
        <v>233</v>
      </c>
      <c r="E72" s="1">
        <v>46007</v>
      </c>
      <c r="F72" s="1">
        <v>46008</v>
      </c>
      <c r="G72" t="s">
        <v>232</v>
      </c>
      <c r="H72" t="s">
        <v>99</v>
      </c>
      <c r="I72">
        <v>1</v>
      </c>
      <c r="L72">
        <v>37.35</v>
      </c>
      <c r="M72">
        <v>37.35</v>
      </c>
      <c r="N72">
        <v>37.35</v>
      </c>
      <c r="O72">
        <v>37.35</v>
      </c>
      <c r="P72">
        <v>37.35</v>
      </c>
      <c r="R72" s="1">
        <v>46003</v>
      </c>
      <c r="S72">
        <v>37.799999999999997</v>
      </c>
      <c r="T72">
        <v>37.799999999999997</v>
      </c>
      <c r="U72">
        <v>70</v>
      </c>
      <c r="V72">
        <v>70</v>
      </c>
      <c r="W72">
        <v>70</v>
      </c>
      <c r="X72">
        <v>70</v>
      </c>
      <c r="Y72">
        <v>70</v>
      </c>
      <c r="AB72">
        <v>-1.19</v>
      </c>
      <c r="AC72">
        <v>-1.19</v>
      </c>
      <c r="AF72">
        <v>274909340</v>
      </c>
      <c r="AG72">
        <v>203000000</v>
      </c>
      <c r="AH72">
        <v>3</v>
      </c>
      <c r="AO72">
        <v>274909340</v>
      </c>
      <c r="AP72">
        <v>203000000</v>
      </c>
      <c r="AQ72">
        <v>3</v>
      </c>
    </row>
    <row r="73" spans="1:45" hidden="1" x14ac:dyDescent="0.25">
      <c r="A73" t="s">
        <v>183</v>
      </c>
      <c r="B73" s="1">
        <v>46007</v>
      </c>
      <c r="C73" t="s">
        <v>234</v>
      </c>
      <c r="E73" s="1">
        <v>46007</v>
      </c>
      <c r="F73" s="1">
        <v>46008</v>
      </c>
      <c r="G73" t="s">
        <v>235</v>
      </c>
      <c r="H73" t="s">
        <v>99</v>
      </c>
      <c r="I73">
        <v>1</v>
      </c>
      <c r="L73">
        <v>37.35</v>
      </c>
      <c r="M73">
        <v>37.35</v>
      </c>
      <c r="N73">
        <v>37.35</v>
      </c>
      <c r="O73">
        <v>37.35</v>
      </c>
      <c r="P73">
        <v>37.35</v>
      </c>
      <c r="R73" s="1">
        <v>46006</v>
      </c>
      <c r="S73">
        <v>37.89</v>
      </c>
      <c r="T73">
        <v>37.9</v>
      </c>
      <c r="U73">
        <v>95</v>
      </c>
      <c r="V73">
        <v>95</v>
      </c>
      <c r="W73">
        <v>95</v>
      </c>
      <c r="X73">
        <v>95</v>
      </c>
      <c r="Y73">
        <v>95</v>
      </c>
      <c r="AB73">
        <v>-1.45</v>
      </c>
      <c r="AC73">
        <v>-1.43</v>
      </c>
      <c r="AF73">
        <v>203576735</v>
      </c>
      <c r="AG73">
        <v>1097160000</v>
      </c>
      <c r="AH73">
        <v>27</v>
      </c>
      <c r="AO73">
        <v>203576735</v>
      </c>
      <c r="AP73">
        <v>1097160000</v>
      </c>
      <c r="AQ73">
        <v>27</v>
      </c>
    </row>
    <row r="74" spans="1:45" hidden="1" x14ac:dyDescent="0.25">
      <c r="A74" t="s">
        <v>178</v>
      </c>
      <c r="B74" s="1">
        <v>46007</v>
      </c>
      <c r="C74" t="s">
        <v>236</v>
      </c>
      <c r="E74" s="1">
        <v>46007</v>
      </c>
      <c r="G74" t="s">
        <v>237</v>
      </c>
      <c r="H74" t="s">
        <v>99</v>
      </c>
      <c r="I74">
        <v>155</v>
      </c>
      <c r="J74">
        <v>155</v>
      </c>
      <c r="L74">
        <v>5920</v>
      </c>
      <c r="M74">
        <v>5920</v>
      </c>
      <c r="N74">
        <v>5920</v>
      </c>
      <c r="O74">
        <v>5920</v>
      </c>
      <c r="P74">
        <v>5920</v>
      </c>
      <c r="Q74">
        <v>5920</v>
      </c>
      <c r="R74" s="1">
        <v>46006</v>
      </c>
      <c r="S74">
        <v>5970</v>
      </c>
      <c r="T74">
        <v>5970</v>
      </c>
      <c r="AB74">
        <v>-0.84</v>
      </c>
      <c r="AC74">
        <v>-0.84</v>
      </c>
      <c r="AF74">
        <v>4975</v>
      </c>
      <c r="AG74">
        <v>29452000</v>
      </c>
      <c r="AH74">
        <v>1</v>
      </c>
      <c r="AO74">
        <v>4975</v>
      </c>
      <c r="AP74">
        <v>29452000</v>
      </c>
      <c r="AQ74">
        <v>1</v>
      </c>
      <c r="AR74">
        <v>3525285</v>
      </c>
      <c r="AS74">
        <v>16111638074.6</v>
      </c>
    </row>
    <row r="75" spans="1:45" hidden="1" x14ac:dyDescent="0.25">
      <c r="A75" t="s">
        <v>178</v>
      </c>
      <c r="B75" s="1">
        <v>46007</v>
      </c>
      <c r="C75" t="s">
        <v>238</v>
      </c>
      <c r="E75" s="1">
        <v>46007</v>
      </c>
      <c r="G75" t="s">
        <v>239</v>
      </c>
      <c r="H75" t="s">
        <v>99</v>
      </c>
      <c r="I75">
        <v>218</v>
      </c>
      <c r="J75">
        <v>36</v>
      </c>
      <c r="K75">
        <v>15.458351648000001</v>
      </c>
      <c r="AI75">
        <v>80000000</v>
      </c>
      <c r="AJ75">
        <v>93861081.319999993</v>
      </c>
      <c r="AK75">
        <v>2</v>
      </c>
      <c r="AO75">
        <v>80000000</v>
      </c>
      <c r="AP75">
        <v>93861081.319999993</v>
      </c>
      <c r="AQ75">
        <v>2</v>
      </c>
      <c r="AR75">
        <v>3503050000</v>
      </c>
      <c r="AS75">
        <v>3839825924.73</v>
      </c>
    </row>
    <row r="76" spans="1:45" hidden="1" x14ac:dyDescent="0.25">
      <c r="A76" t="s">
        <v>178</v>
      </c>
      <c r="B76" s="1">
        <v>46007</v>
      </c>
      <c r="C76" t="s">
        <v>240</v>
      </c>
      <c r="E76" s="1">
        <v>46007</v>
      </c>
      <c r="G76" t="s">
        <v>241</v>
      </c>
      <c r="H76" t="s">
        <v>99</v>
      </c>
      <c r="I76">
        <v>41</v>
      </c>
      <c r="J76">
        <v>41</v>
      </c>
      <c r="L76">
        <v>5930</v>
      </c>
      <c r="M76">
        <v>5930</v>
      </c>
      <c r="N76">
        <v>5930</v>
      </c>
      <c r="O76">
        <v>5930</v>
      </c>
      <c r="P76">
        <v>5930</v>
      </c>
      <c r="Q76">
        <v>5930</v>
      </c>
      <c r="R76" s="1">
        <v>46006</v>
      </c>
      <c r="S76">
        <v>5975</v>
      </c>
      <c r="T76">
        <v>5975</v>
      </c>
      <c r="AB76">
        <v>-0.75</v>
      </c>
      <c r="AC76">
        <v>-0.75</v>
      </c>
      <c r="AF76">
        <v>5970</v>
      </c>
      <c r="AG76">
        <v>35402100</v>
      </c>
      <c r="AH76">
        <v>1</v>
      </c>
      <c r="AO76">
        <v>5970</v>
      </c>
      <c r="AP76">
        <v>35402100</v>
      </c>
      <c r="AQ76">
        <v>1</v>
      </c>
      <c r="AR76">
        <v>9121165</v>
      </c>
      <c r="AS76">
        <v>35767687192.43</v>
      </c>
    </row>
    <row r="77" spans="1:45" hidden="1" x14ac:dyDescent="0.25">
      <c r="A77" t="s">
        <v>178</v>
      </c>
      <c r="B77" s="1">
        <v>46007</v>
      </c>
      <c r="C77" t="s">
        <v>242</v>
      </c>
      <c r="E77" s="1">
        <v>46007</v>
      </c>
      <c r="G77" t="s">
        <v>243</v>
      </c>
      <c r="H77" t="s">
        <v>99</v>
      </c>
      <c r="I77">
        <v>71</v>
      </c>
      <c r="J77">
        <v>71</v>
      </c>
      <c r="K77">
        <v>2.8109589800000001</v>
      </c>
      <c r="AI77">
        <v>12060000</v>
      </c>
      <c r="AJ77">
        <v>12387182.85</v>
      </c>
      <c r="AK77">
        <v>1</v>
      </c>
      <c r="AO77">
        <v>12060000</v>
      </c>
      <c r="AP77">
        <v>12387182.85</v>
      </c>
      <c r="AQ77">
        <v>1</v>
      </c>
      <c r="AR77">
        <v>16920000</v>
      </c>
      <c r="AS77">
        <v>17276047.800000001</v>
      </c>
    </row>
    <row r="78" spans="1:45" hidden="1" x14ac:dyDescent="0.25">
      <c r="A78" t="s">
        <v>178</v>
      </c>
      <c r="B78" s="1">
        <v>46007</v>
      </c>
      <c r="C78" t="s">
        <v>244</v>
      </c>
      <c r="E78" s="1">
        <v>46008</v>
      </c>
      <c r="G78" t="s">
        <v>245</v>
      </c>
      <c r="H78" t="s">
        <v>99</v>
      </c>
      <c r="I78">
        <v>105</v>
      </c>
      <c r="J78">
        <v>105</v>
      </c>
      <c r="K78">
        <v>1.7452000000000001</v>
      </c>
      <c r="AI78">
        <v>10000000</v>
      </c>
      <c r="AJ78">
        <v>10164020</v>
      </c>
      <c r="AK78">
        <v>1</v>
      </c>
      <c r="AO78">
        <v>10000000</v>
      </c>
      <c r="AP78">
        <v>10164020</v>
      </c>
      <c r="AQ78">
        <v>1</v>
      </c>
      <c r="AR78">
        <v>0</v>
      </c>
      <c r="AS78">
        <v>0</v>
      </c>
    </row>
    <row r="79" spans="1:45" hidden="1" x14ac:dyDescent="0.25">
      <c r="A79" t="s">
        <v>178</v>
      </c>
      <c r="B79" s="1">
        <v>46007</v>
      </c>
      <c r="C79" t="s">
        <v>246</v>
      </c>
      <c r="E79" s="1">
        <v>46008</v>
      </c>
      <c r="G79" t="s">
        <v>247</v>
      </c>
      <c r="H79" t="s">
        <v>99</v>
      </c>
      <c r="I79">
        <v>112</v>
      </c>
      <c r="J79">
        <v>112</v>
      </c>
      <c r="K79">
        <v>0.88219411800000003</v>
      </c>
      <c r="AI79">
        <v>27000000</v>
      </c>
      <c r="AJ79">
        <v>27222802.41</v>
      </c>
      <c r="AK79">
        <v>1</v>
      </c>
      <c r="AO79">
        <v>27000000</v>
      </c>
      <c r="AP79">
        <v>27222802.41</v>
      </c>
      <c r="AQ79">
        <v>1</v>
      </c>
      <c r="AR79">
        <v>0</v>
      </c>
      <c r="AS79">
        <v>0</v>
      </c>
    </row>
    <row r="80" spans="1:45" hidden="1" x14ac:dyDescent="0.25">
      <c r="A80" t="s">
        <v>178</v>
      </c>
      <c r="B80" s="1">
        <v>46007</v>
      </c>
      <c r="C80" t="s">
        <v>248</v>
      </c>
      <c r="E80" s="1">
        <v>46007</v>
      </c>
      <c r="G80" t="s">
        <v>249</v>
      </c>
      <c r="H80" t="s">
        <v>99</v>
      </c>
      <c r="I80">
        <v>3</v>
      </c>
      <c r="J80">
        <v>3</v>
      </c>
      <c r="K80">
        <v>9.5835578019999907</v>
      </c>
      <c r="AI80">
        <v>90000</v>
      </c>
      <c r="AJ80">
        <v>98610.8</v>
      </c>
      <c r="AK80">
        <v>1</v>
      </c>
      <c r="AO80">
        <v>90000</v>
      </c>
      <c r="AP80">
        <v>98610.8</v>
      </c>
      <c r="AQ80">
        <v>1</v>
      </c>
      <c r="AR80">
        <v>1179480000</v>
      </c>
      <c r="AS80">
        <v>1202057538.46</v>
      </c>
    </row>
    <row r="81" spans="1:45" hidden="1" x14ac:dyDescent="0.25">
      <c r="A81" t="s">
        <v>178</v>
      </c>
      <c r="B81" s="1">
        <v>46007</v>
      </c>
      <c r="C81" t="s">
        <v>250</v>
      </c>
      <c r="E81" s="1">
        <v>46007</v>
      </c>
      <c r="G81" t="s">
        <v>251</v>
      </c>
      <c r="H81" t="s">
        <v>99</v>
      </c>
      <c r="I81">
        <v>8</v>
      </c>
      <c r="J81">
        <v>8</v>
      </c>
      <c r="K81">
        <v>8.8684952750000008</v>
      </c>
      <c r="AI81">
        <v>20000000</v>
      </c>
      <c r="AJ81">
        <v>21766499.050000001</v>
      </c>
      <c r="AK81">
        <v>1</v>
      </c>
      <c r="AO81">
        <v>20000000</v>
      </c>
      <c r="AP81">
        <v>21766499.050000001</v>
      </c>
      <c r="AQ81">
        <v>1</v>
      </c>
      <c r="AR81">
        <v>20000000</v>
      </c>
      <c r="AS81">
        <v>21175712.620000001</v>
      </c>
    </row>
    <row r="82" spans="1:45" hidden="1" x14ac:dyDescent="0.25">
      <c r="A82" t="s">
        <v>178</v>
      </c>
      <c r="B82" s="1">
        <v>46007</v>
      </c>
      <c r="C82" t="s">
        <v>252</v>
      </c>
      <c r="E82" s="1">
        <v>46007</v>
      </c>
      <c r="G82" t="s">
        <v>253</v>
      </c>
      <c r="H82" t="s">
        <v>99</v>
      </c>
      <c r="I82">
        <v>107</v>
      </c>
      <c r="J82">
        <v>107</v>
      </c>
      <c r="K82">
        <v>1.4958905</v>
      </c>
      <c r="L82">
        <v>99.915000000000006</v>
      </c>
      <c r="M82">
        <v>99.915000000000006</v>
      </c>
      <c r="N82">
        <v>99.915000000000006</v>
      </c>
      <c r="O82">
        <v>99.915000000000006</v>
      </c>
      <c r="P82">
        <v>99.915000000000006</v>
      </c>
      <c r="Q82">
        <v>101.411</v>
      </c>
      <c r="U82">
        <v>41.7</v>
      </c>
      <c r="V82">
        <v>41.7</v>
      </c>
      <c r="W82">
        <v>41.7</v>
      </c>
      <c r="X82">
        <v>41.7</v>
      </c>
      <c r="Y82">
        <v>41.7</v>
      </c>
      <c r="Z82">
        <v>48.2</v>
      </c>
      <c r="AA82">
        <v>48.2</v>
      </c>
      <c r="AF82">
        <v>18000000</v>
      </c>
      <c r="AG82">
        <v>18253960.300000001</v>
      </c>
      <c r="AH82">
        <v>3</v>
      </c>
      <c r="AO82">
        <v>18000000</v>
      </c>
      <c r="AP82">
        <v>18253960.300000001</v>
      </c>
      <c r="AQ82">
        <v>3</v>
      </c>
      <c r="AR82">
        <v>18000000</v>
      </c>
      <c r="AS82">
        <v>18253960.300000001</v>
      </c>
    </row>
    <row r="83" spans="1:45" hidden="1" x14ac:dyDescent="0.25">
      <c r="A83" t="s">
        <v>178</v>
      </c>
      <c r="B83" s="1">
        <v>46007</v>
      </c>
      <c r="C83" t="s">
        <v>254</v>
      </c>
      <c r="E83" s="1">
        <v>46007</v>
      </c>
      <c r="G83" t="s">
        <v>255</v>
      </c>
      <c r="H83" t="s">
        <v>99</v>
      </c>
      <c r="I83">
        <v>91</v>
      </c>
      <c r="J83">
        <v>91</v>
      </c>
      <c r="K83">
        <v>0.61643814399999897</v>
      </c>
      <c r="L83">
        <v>101.232</v>
      </c>
      <c r="M83">
        <v>101.232</v>
      </c>
      <c r="N83">
        <v>101.232</v>
      </c>
      <c r="O83">
        <v>101.232</v>
      </c>
      <c r="P83">
        <v>101.232</v>
      </c>
      <c r="Q83">
        <v>101.848</v>
      </c>
      <c r="R83" s="1">
        <v>46003</v>
      </c>
      <c r="S83">
        <v>101.3</v>
      </c>
      <c r="T83">
        <v>101.3</v>
      </c>
      <c r="U83">
        <v>31.97</v>
      </c>
      <c r="V83">
        <v>31.97</v>
      </c>
      <c r="W83">
        <v>31.97</v>
      </c>
      <c r="X83">
        <v>31.97</v>
      </c>
      <c r="Y83">
        <v>31.97</v>
      </c>
      <c r="Z83">
        <v>36.020000000000003</v>
      </c>
      <c r="AA83">
        <v>36.020000000000003</v>
      </c>
      <c r="AB83">
        <v>-7.0000000000000007E-2</v>
      </c>
      <c r="AC83">
        <v>-7.0000000000000007E-2</v>
      </c>
      <c r="AD83">
        <v>0.03</v>
      </c>
      <c r="AE83">
        <v>0.03</v>
      </c>
      <c r="AF83">
        <v>1999900000</v>
      </c>
      <c r="AG83">
        <v>2036866914.3699999</v>
      </c>
      <c r="AH83">
        <v>20</v>
      </c>
      <c r="AO83">
        <v>1999900000</v>
      </c>
      <c r="AP83">
        <v>2036866914.3699999</v>
      </c>
      <c r="AQ83">
        <v>20</v>
      </c>
      <c r="AR83">
        <v>2000000000</v>
      </c>
      <c r="AS83">
        <v>2036968419.8499999</v>
      </c>
    </row>
    <row r="84" spans="1:45" hidden="1" x14ac:dyDescent="0.25">
      <c r="A84" t="s">
        <v>178</v>
      </c>
      <c r="B84" s="1">
        <v>46007</v>
      </c>
      <c r="C84" t="s">
        <v>256</v>
      </c>
      <c r="E84" s="1">
        <v>46007</v>
      </c>
      <c r="G84" t="s">
        <v>257</v>
      </c>
      <c r="H84" t="s">
        <v>99</v>
      </c>
      <c r="I84">
        <v>8</v>
      </c>
      <c r="J84">
        <v>8</v>
      </c>
      <c r="K84">
        <v>9.5095857729999906</v>
      </c>
      <c r="AI84">
        <v>14500000</v>
      </c>
      <c r="AJ84">
        <v>15869754.939999999</v>
      </c>
      <c r="AK84">
        <v>1</v>
      </c>
      <c r="AO84">
        <v>14500000</v>
      </c>
      <c r="AP84">
        <v>15869754.939999999</v>
      </c>
      <c r="AQ84">
        <v>1</v>
      </c>
      <c r="AR84">
        <v>111520000</v>
      </c>
      <c r="AS84">
        <v>119520848</v>
      </c>
    </row>
    <row r="85" spans="1:45" hidden="1" x14ac:dyDescent="0.25">
      <c r="A85" t="s">
        <v>178</v>
      </c>
      <c r="B85" s="1">
        <v>46007</v>
      </c>
      <c r="C85" t="s">
        <v>258</v>
      </c>
      <c r="E85" s="1">
        <v>46007</v>
      </c>
      <c r="G85" t="s">
        <v>259</v>
      </c>
      <c r="H85" t="s">
        <v>99</v>
      </c>
      <c r="I85">
        <v>99</v>
      </c>
      <c r="J85">
        <v>9</v>
      </c>
      <c r="AI85">
        <v>50000000</v>
      </c>
      <c r="AJ85">
        <v>55107500</v>
      </c>
      <c r="AK85">
        <v>2</v>
      </c>
      <c r="AO85">
        <v>50000000</v>
      </c>
      <c r="AP85">
        <v>55107500</v>
      </c>
      <c r="AQ85">
        <v>2</v>
      </c>
      <c r="AR85">
        <v>0</v>
      </c>
      <c r="AS85">
        <v>0</v>
      </c>
    </row>
    <row r="86" spans="1:45" hidden="1" x14ac:dyDescent="0.25">
      <c r="A86" t="s">
        <v>260</v>
      </c>
      <c r="B86" s="1">
        <v>46007</v>
      </c>
      <c r="C86" t="s">
        <v>261</v>
      </c>
      <c r="E86" s="1">
        <v>46007</v>
      </c>
      <c r="F86" s="1">
        <v>46008</v>
      </c>
      <c r="G86" t="s">
        <v>262</v>
      </c>
      <c r="H86" t="s">
        <v>99</v>
      </c>
      <c r="I86">
        <v>1</v>
      </c>
      <c r="AI86">
        <v>22542835</v>
      </c>
      <c r="AJ86">
        <v>25000000</v>
      </c>
      <c r="AK86">
        <v>1</v>
      </c>
      <c r="AO86">
        <v>22542835</v>
      </c>
      <c r="AP86">
        <v>25000000</v>
      </c>
      <c r="AQ86">
        <v>1</v>
      </c>
    </row>
    <row r="87" spans="1:45" hidden="1" x14ac:dyDescent="0.25">
      <c r="A87" t="s">
        <v>260</v>
      </c>
      <c r="B87" s="1">
        <v>46007</v>
      </c>
      <c r="C87" t="s">
        <v>263</v>
      </c>
      <c r="E87" s="1">
        <v>46007</v>
      </c>
      <c r="F87" s="1">
        <v>46008</v>
      </c>
      <c r="G87" t="s">
        <v>264</v>
      </c>
      <c r="H87" t="s">
        <v>99</v>
      </c>
      <c r="I87">
        <v>1</v>
      </c>
      <c r="AI87">
        <v>47562430</v>
      </c>
      <c r="AJ87">
        <v>40000000</v>
      </c>
      <c r="AK87">
        <v>1</v>
      </c>
      <c r="AO87">
        <v>47562430</v>
      </c>
      <c r="AP87">
        <v>40000000</v>
      </c>
      <c r="AQ87">
        <v>1</v>
      </c>
    </row>
    <row r="88" spans="1:45" hidden="1" x14ac:dyDescent="0.25">
      <c r="A88" t="s">
        <v>260</v>
      </c>
      <c r="B88" s="1">
        <v>46007</v>
      </c>
      <c r="C88" t="s">
        <v>265</v>
      </c>
      <c r="E88" s="1">
        <v>46007</v>
      </c>
      <c r="F88" s="1">
        <v>46008</v>
      </c>
      <c r="G88" t="s">
        <v>266</v>
      </c>
      <c r="H88" t="s">
        <v>99</v>
      </c>
      <c r="I88">
        <v>1</v>
      </c>
      <c r="AI88">
        <v>37719530</v>
      </c>
      <c r="AJ88">
        <v>50000000</v>
      </c>
      <c r="AK88">
        <v>1</v>
      </c>
      <c r="AO88">
        <v>37719530</v>
      </c>
      <c r="AP88">
        <v>50000000</v>
      </c>
      <c r="AQ88">
        <v>1</v>
      </c>
    </row>
    <row r="89" spans="1:45" hidden="1" x14ac:dyDescent="0.25">
      <c r="A89" t="s">
        <v>260</v>
      </c>
      <c r="B89" s="1">
        <v>46007</v>
      </c>
      <c r="C89" t="s">
        <v>267</v>
      </c>
      <c r="E89" s="1">
        <v>46007</v>
      </c>
      <c r="F89" s="1">
        <v>46008</v>
      </c>
      <c r="G89" t="s">
        <v>268</v>
      </c>
      <c r="H89" t="s">
        <v>99</v>
      </c>
      <c r="I89">
        <v>1</v>
      </c>
      <c r="AI89">
        <v>80070000</v>
      </c>
      <c r="AJ89">
        <v>80070000</v>
      </c>
      <c r="AK89">
        <v>1</v>
      </c>
      <c r="AO89">
        <v>80070000</v>
      </c>
      <c r="AP89">
        <v>80070000</v>
      </c>
      <c r="AQ89">
        <v>1</v>
      </c>
    </row>
    <row r="90" spans="1:45" hidden="1" x14ac:dyDescent="0.25">
      <c r="A90" t="s">
        <v>178</v>
      </c>
      <c r="B90" s="1">
        <v>46007</v>
      </c>
      <c r="C90" t="s">
        <v>269</v>
      </c>
      <c r="E90" s="1">
        <v>46008</v>
      </c>
      <c r="G90" t="s">
        <v>270</v>
      </c>
      <c r="H90" t="s">
        <v>99</v>
      </c>
      <c r="I90">
        <v>113</v>
      </c>
      <c r="J90">
        <v>22</v>
      </c>
      <c r="AI90">
        <v>10000000</v>
      </c>
      <c r="AJ90">
        <v>11032000</v>
      </c>
      <c r="AK90">
        <v>1</v>
      </c>
      <c r="AO90">
        <v>10000000</v>
      </c>
      <c r="AP90">
        <v>11032000</v>
      </c>
      <c r="AQ90">
        <v>1</v>
      </c>
      <c r="AR90">
        <v>0</v>
      </c>
      <c r="AS90">
        <v>0</v>
      </c>
    </row>
    <row r="91" spans="1:45" hidden="1" x14ac:dyDescent="0.25">
      <c r="A91" t="s">
        <v>260</v>
      </c>
      <c r="B91" s="1">
        <v>46007</v>
      </c>
      <c r="C91" t="s">
        <v>271</v>
      </c>
      <c r="E91" s="1">
        <v>46007</v>
      </c>
      <c r="F91" s="1">
        <v>46008</v>
      </c>
      <c r="G91" t="s">
        <v>272</v>
      </c>
      <c r="H91" t="s">
        <v>99</v>
      </c>
      <c r="I91">
        <v>1</v>
      </c>
      <c r="AI91">
        <v>1003735</v>
      </c>
      <c r="AJ91">
        <v>1000000</v>
      </c>
      <c r="AK91">
        <v>1</v>
      </c>
      <c r="AO91">
        <v>1003735</v>
      </c>
      <c r="AP91">
        <v>1000000</v>
      </c>
      <c r="AQ91">
        <v>1</v>
      </c>
    </row>
    <row r="92" spans="1:45" hidden="1" x14ac:dyDescent="0.25">
      <c r="A92" t="s">
        <v>178</v>
      </c>
      <c r="B92" s="1">
        <v>46007</v>
      </c>
      <c r="C92" t="s">
        <v>273</v>
      </c>
      <c r="E92" s="1">
        <v>46007</v>
      </c>
      <c r="G92" t="s">
        <v>274</v>
      </c>
      <c r="H92" t="s">
        <v>99</v>
      </c>
      <c r="I92">
        <v>303</v>
      </c>
      <c r="AI92">
        <v>149700000</v>
      </c>
      <c r="AJ92">
        <v>115997240.20999999</v>
      </c>
      <c r="AK92">
        <v>2</v>
      </c>
      <c r="AO92">
        <v>149700000</v>
      </c>
      <c r="AP92">
        <v>115997240.20999999</v>
      </c>
      <c r="AQ92">
        <v>2</v>
      </c>
      <c r="AR92">
        <v>0</v>
      </c>
      <c r="AS92">
        <v>0</v>
      </c>
    </row>
    <row r="93" spans="1:45" hidden="1" x14ac:dyDescent="0.25">
      <c r="A93" t="s">
        <v>260</v>
      </c>
      <c r="B93" s="1">
        <v>46007</v>
      </c>
      <c r="C93" t="s">
        <v>275</v>
      </c>
      <c r="E93" s="1">
        <v>46007</v>
      </c>
      <c r="F93" s="1">
        <v>46008</v>
      </c>
      <c r="G93" t="s">
        <v>276</v>
      </c>
      <c r="H93" t="s">
        <v>99</v>
      </c>
      <c r="I93">
        <v>1</v>
      </c>
      <c r="AI93">
        <v>143169050</v>
      </c>
      <c r="AJ93">
        <v>200000000</v>
      </c>
      <c r="AK93">
        <v>2</v>
      </c>
      <c r="AO93">
        <v>143169050</v>
      </c>
      <c r="AP93">
        <v>200000000</v>
      </c>
      <c r="AQ93">
        <v>2</v>
      </c>
    </row>
    <row r="94" spans="1:45" hidden="1" x14ac:dyDescent="0.25">
      <c r="A94" t="s">
        <v>260</v>
      </c>
      <c r="B94" s="1">
        <v>46007</v>
      </c>
      <c r="C94" t="s">
        <v>277</v>
      </c>
      <c r="E94" s="1">
        <v>46007</v>
      </c>
      <c r="F94" s="1">
        <v>46008</v>
      </c>
      <c r="G94" t="s">
        <v>278</v>
      </c>
      <c r="H94" t="s">
        <v>99</v>
      </c>
      <c r="I94">
        <v>1</v>
      </c>
      <c r="AI94">
        <v>62698175</v>
      </c>
      <c r="AJ94">
        <v>70000000</v>
      </c>
      <c r="AK94">
        <v>1</v>
      </c>
      <c r="AO94">
        <v>62698175</v>
      </c>
      <c r="AP94">
        <v>70000000</v>
      </c>
      <c r="AQ94">
        <v>1</v>
      </c>
    </row>
    <row r="95" spans="1:45" hidden="1" x14ac:dyDescent="0.25">
      <c r="A95" t="s">
        <v>260</v>
      </c>
      <c r="B95" s="1">
        <v>46007</v>
      </c>
      <c r="C95" t="s">
        <v>279</v>
      </c>
      <c r="E95" s="1">
        <v>46007</v>
      </c>
      <c r="F95" s="1">
        <v>46008</v>
      </c>
      <c r="G95" t="s">
        <v>280</v>
      </c>
      <c r="H95" t="s">
        <v>99</v>
      </c>
      <c r="I95">
        <v>1</v>
      </c>
      <c r="AI95">
        <v>307992410</v>
      </c>
      <c r="AJ95">
        <v>480000000</v>
      </c>
      <c r="AK95">
        <v>5</v>
      </c>
      <c r="AO95">
        <v>307992410</v>
      </c>
      <c r="AP95">
        <v>480000000</v>
      </c>
      <c r="AQ95">
        <v>5</v>
      </c>
    </row>
    <row r="96" spans="1:45" hidden="1" x14ac:dyDescent="0.25">
      <c r="A96" t="s">
        <v>178</v>
      </c>
      <c r="B96" s="1">
        <v>46007</v>
      </c>
      <c r="C96" t="s">
        <v>281</v>
      </c>
      <c r="E96" s="1">
        <v>46007</v>
      </c>
      <c r="G96" t="s">
        <v>282</v>
      </c>
      <c r="H96" t="s">
        <v>99</v>
      </c>
      <c r="I96">
        <v>318</v>
      </c>
      <c r="J96">
        <v>318</v>
      </c>
      <c r="AI96">
        <v>62700000</v>
      </c>
      <c r="AJ96">
        <v>66028743</v>
      </c>
      <c r="AK96">
        <v>1</v>
      </c>
      <c r="AO96">
        <v>62700000</v>
      </c>
      <c r="AP96">
        <v>66028743</v>
      </c>
      <c r="AQ96">
        <v>1</v>
      </c>
      <c r="AR96">
        <v>0</v>
      </c>
      <c r="AS96">
        <v>0</v>
      </c>
    </row>
    <row r="97" spans="1:45" hidden="1" x14ac:dyDescent="0.25">
      <c r="A97" t="s">
        <v>260</v>
      </c>
      <c r="B97" s="1">
        <v>46007</v>
      </c>
      <c r="C97" t="s">
        <v>283</v>
      </c>
      <c r="E97" s="1">
        <v>46007</v>
      </c>
      <c r="F97" s="1">
        <v>46008</v>
      </c>
      <c r="G97" t="s">
        <v>282</v>
      </c>
      <c r="H97" t="s">
        <v>99</v>
      </c>
      <c r="I97">
        <v>1</v>
      </c>
      <c r="AI97">
        <v>62672710</v>
      </c>
      <c r="AJ97">
        <v>66000000</v>
      </c>
      <c r="AK97">
        <v>1</v>
      </c>
      <c r="AO97">
        <v>62672710</v>
      </c>
      <c r="AP97">
        <v>66000000</v>
      </c>
      <c r="AQ97">
        <v>1</v>
      </c>
    </row>
    <row r="98" spans="1:45" hidden="1" x14ac:dyDescent="0.25">
      <c r="A98" t="s">
        <v>178</v>
      </c>
      <c r="B98" s="1">
        <v>46007</v>
      </c>
      <c r="C98" t="s">
        <v>284</v>
      </c>
      <c r="E98" s="1">
        <v>46007</v>
      </c>
      <c r="G98" t="s">
        <v>285</v>
      </c>
      <c r="H98" t="s">
        <v>99</v>
      </c>
      <c r="I98">
        <v>120</v>
      </c>
      <c r="J98">
        <v>120</v>
      </c>
      <c r="K98">
        <v>4.0292207790000001</v>
      </c>
      <c r="AI98">
        <v>150000</v>
      </c>
      <c r="AJ98">
        <v>155655.32999999999</v>
      </c>
      <c r="AK98">
        <v>1</v>
      </c>
      <c r="AO98">
        <v>150000</v>
      </c>
      <c r="AP98">
        <v>155655.32999999999</v>
      </c>
      <c r="AQ98">
        <v>1</v>
      </c>
      <c r="AR98">
        <v>0</v>
      </c>
      <c r="AS98">
        <v>0</v>
      </c>
    </row>
    <row r="99" spans="1:45" hidden="1" x14ac:dyDescent="0.25">
      <c r="A99" t="s">
        <v>260</v>
      </c>
      <c r="B99" s="1">
        <v>46007</v>
      </c>
      <c r="C99" t="s">
        <v>286</v>
      </c>
      <c r="E99" s="1">
        <v>46007</v>
      </c>
      <c r="F99" s="1">
        <v>46008</v>
      </c>
      <c r="G99" t="s">
        <v>287</v>
      </c>
      <c r="H99" t="s">
        <v>99</v>
      </c>
      <c r="I99">
        <v>1</v>
      </c>
      <c r="AI99">
        <v>1668630</v>
      </c>
      <c r="AJ99">
        <v>1750000</v>
      </c>
      <c r="AK99">
        <v>1</v>
      </c>
      <c r="AO99">
        <v>1668630</v>
      </c>
      <c r="AP99">
        <v>1750000</v>
      </c>
      <c r="AQ99">
        <v>1</v>
      </c>
    </row>
    <row r="100" spans="1:45" hidden="1" x14ac:dyDescent="0.25">
      <c r="A100" t="s">
        <v>260</v>
      </c>
      <c r="B100" s="1">
        <v>46007</v>
      </c>
      <c r="C100" t="s">
        <v>288</v>
      </c>
      <c r="E100" s="1">
        <v>46007</v>
      </c>
      <c r="F100" s="1">
        <v>46008</v>
      </c>
      <c r="G100" t="s">
        <v>289</v>
      </c>
      <c r="H100" t="s">
        <v>99</v>
      </c>
      <c r="I100">
        <v>1</v>
      </c>
      <c r="AI100">
        <v>9433370</v>
      </c>
      <c r="AJ100">
        <v>10500000</v>
      </c>
      <c r="AK100">
        <v>1</v>
      </c>
      <c r="AO100">
        <v>9433370</v>
      </c>
      <c r="AP100">
        <v>10500000</v>
      </c>
      <c r="AQ100">
        <v>1</v>
      </c>
    </row>
    <row r="101" spans="1:45" hidden="1" x14ac:dyDescent="0.25">
      <c r="A101" t="s">
        <v>178</v>
      </c>
      <c r="B101" s="1">
        <v>46007</v>
      </c>
      <c r="C101" t="s">
        <v>290</v>
      </c>
      <c r="E101" s="1">
        <v>46008</v>
      </c>
      <c r="G101" t="s">
        <v>291</v>
      </c>
      <c r="H101" t="s">
        <v>99</v>
      </c>
      <c r="I101">
        <v>336</v>
      </c>
      <c r="J101">
        <v>63</v>
      </c>
      <c r="AI101">
        <v>3000000</v>
      </c>
      <c r="AJ101">
        <v>3161400</v>
      </c>
      <c r="AK101">
        <v>1</v>
      </c>
      <c r="AO101">
        <v>3000000</v>
      </c>
      <c r="AP101">
        <v>3161400</v>
      </c>
      <c r="AQ101">
        <v>1</v>
      </c>
      <c r="AR101">
        <v>0</v>
      </c>
      <c r="AS101">
        <v>0</v>
      </c>
    </row>
    <row r="102" spans="1:45" hidden="1" x14ac:dyDescent="0.25">
      <c r="A102" t="s">
        <v>260</v>
      </c>
      <c r="B102" s="1">
        <v>46007</v>
      </c>
      <c r="C102" t="s">
        <v>292</v>
      </c>
      <c r="E102" s="1">
        <v>46007</v>
      </c>
      <c r="F102" s="1">
        <v>46008</v>
      </c>
      <c r="G102" t="s">
        <v>293</v>
      </c>
      <c r="H102" t="s">
        <v>99</v>
      </c>
      <c r="I102">
        <v>1</v>
      </c>
      <c r="AI102">
        <v>4000000</v>
      </c>
      <c r="AJ102">
        <v>4000000</v>
      </c>
      <c r="AK102">
        <v>1</v>
      </c>
      <c r="AO102">
        <v>4000000</v>
      </c>
      <c r="AP102">
        <v>4000000</v>
      </c>
      <c r="AQ102">
        <v>1</v>
      </c>
    </row>
    <row r="103" spans="1:45" hidden="1" x14ac:dyDescent="0.25">
      <c r="A103" t="s">
        <v>178</v>
      </c>
      <c r="B103" s="1">
        <v>46007</v>
      </c>
      <c r="C103" t="s">
        <v>294</v>
      </c>
      <c r="E103" s="1">
        <v>46008</v>
      </c>
      <c r="G103" t="s">
        <v>295</v>
      </c>
      <c r="H103" t="s">
        <v>99</v>
      </c>
      <c r="I103">
        <v>168</v>
      </c>
      <c r="J103">
        <v>168</v>
      </c>
      <c r="K103">
        <v>1.8081967210000001</v>
      </c>
      <c r="AI103">
        <v>7500000</v>
      </c>
      <c r="AJ103">
        <v>7623614.75</v>
      </c>
      <c r="AK103">
        <v>1</v>
      </c>
      <c r="AO103">
        <v>7500000</v>
      </c>
      <c r="AP103">
        <v>7623614.75</v>
      </c>
      <c r="AQ103">
        <v>1</v>
      </c>
      <c r="AR103">
        <v>0</v>
      </c>
      <c r="AS103">
        <v>0</v>
      </c>
    </row>
    <row r="104" spans="1:45" hidden="1" x14ac:dyDescent="0.25">
      <c r="A104" t="s">
        <v>178</v>
      </c>
      <c r="B104" s="1">
        <v>46007</v>
      </c>
      <c r="C104" t="s">
        <v>296</v>
      </c>
      <c r="E104" s="1">
        <v>46009</v>
      </c>
      <c r="G104" t="s">
        <v>297</v>
      </c>
      <c r="H104" t="s">
        <v>99</v>
      </c>
      <c r="I104">
        <v>56</v>
      </c>
      <c r="L104">
        <v>94.183999999999997</v>
      </c>
      <c r="M104">
        <v>94.183999999999997</v>
      </c>
      <c r="N104">
        <v>94.183999999999997</v>
      </c>
      <c r="O104">
        <v>94.183999999999997</v>
      </c>
      <c r="P104">
        <v>94.183999999999997</v>
      </c>
      <c r="Q104">
        <v>94.183999999999997</v>
      </c>
      <c r="U104">
        <v>40.25</v>
      </c>
      <c r="V104">
        <v>40.25</v>
      </c>
      <c r="W104">
        <v>40.25</v>
      </c>
      <c r="X104">
        <v>40.25</v>
      </c>
      <c r="Y104">
        <v>40.25</v>
      </c>
      <c r="Z104">
        <v>47.78</v>
      </c>
      <c r="AA104">
        <v>47.78</v>
      </c>
      <c r="AF104">
        <v>91050000</v>
      </c>
      <c r="AG104">
        <v>85754373.739999995</v>
      </c>
      <c r="AH104">
        <v>1</v>
      </c>
      <c r="AO104">
        <v>91050000</v>
      </c>
      <c r="AP104">
        <v>85754373.739999995</v>
      </c>
      <c r="AQ104">
        <v>1</v>
      </c>
      <c r="AR104">
        <v>91050000</v>
      </c>
      <c r="AS104">
        <v>85754373.739999995</v>
      </c>
    </row>
    <row r="105" spans="1:45" hidden="1" x14ac:dyDescent="0.25">
      <c r="A105" t="s">
        <v>178</v>
      </c>
      <c r="B105" s="1">
        <v>46007</v>
      </c>
      <c r="C105" t="s">
        <v>298</v>
      </c>
      <c r="E105" s="1">
        <v>46008</v>
      </c>
      <c r="G105" t="s">
        <v>297</v>
      </c>
      <c r="H105" t="s">
        <v>99</v>
      </c>
      <c r="I105">
        <v>57</v>
      </c>
      <c r="L105">
        <v>94.085999999999999</v>
      </c>
      <c r="M105">
        <v>94.085999999999999</v>
      </c>
      <c r="N105">
        <v>94.085999999999999</v>
      </c>
      <c r="O105">
        <v>94.085999999999999</v>
      </c>
      <c r="P105">
        <v>94.085999999999999</v>
      </c>
      <c r="Q105">
        <v>94.085999999999999</v>
      </c>
      <c r="U105">
        <v>40.25</v>
      </c>
      <c r="V105">
        <v>40.25</v>
      </c>
      <c r="W105">
        <v>40.25</v>
      </c>
      <c r="X105">
        <v>40.25</v>
      </c>
      <c r="Y105">
        <v>40.25</v>
      </c>
      <c r="Z105">
        <v>47.75</v>
      </c>
      <c r="AA105">
        <v>47.75</v>
      </c>
      <c r="AF105">
        <v>150000000</v>
      </c>
      <c r="AG105">
        <v>141129162.18000001</v>
      </c>
      <c r="AH105">
        <v>5</v>
      </c>
      <c r="AO105">
        <v>150000000</v>
      </c>
      <c r="AP105">
        <v>141129162.18000001</v>
      </c>
      <c r="AQ105">
        <v>5</v>
      </c>
      <c r="AR105">
        <v>150000000</v>
      </c>
      <c r="AS105">
        <v>141129162.18000001</v>
      </c>
    </row>
    <row r="106" spans="1:45" hidden="1" x14ac:dyDescent="0.25">
      <c r="A106" t="s">
        <v>178</v>
      </c>
      <c r="B106" s="1">
        <v>46007</v>
      </c>
      <c r="C106" t="s">
        <v>299</v>
      </c>
      <c r="E106" s="1">
        <v>46007</v>
      </c>
      <c r="G106" t="s">
        <v>300</v>
      </c>
      <c r="H106" t="s">
        <v>99</v>
      </c>
      <c r="I106">
        <v>45</v>
      </c>
      <c r="J106">
        <v>45</v>
      </c>
      <c r="K106">
        <v>10.48766797</v>
      </c>
      <c r="AI106">
        <v>1000000</v>
      </c>
      <c r="AJ106">
        <v>1102246.68</v>
      </c>
      <c r="AK106">
        <v>1</v>
      </c>
      <c r="AO106">
        <v>1000000</v>
      </c>
      <c r="AP106">
        <v>1102246.68</v>
      </c>
      <c r="AQ106">
        <v>1</v>
      </c>
      <c r="AR106">
        <v>0</v>
      </c>
      <c r="AS106">
        <v>0</v>
      </c>
    </row>
    <row r="107" spans="1:45" hidden="1" x14ac:dyDescent="0.25">
      <c r="A107" t="s">
        <v>178</v>
      </c>
      <c r="B107" s="1">
        <v>46007</v>
      </c>
      <c r="C107" t="s">
        <v>301</v>
      </c>
      <c r="E107" s="1">
        <v>46007</v>
      </c>
      <c r="G107" t="s">
        <v>302</v>
      </c>
      <c r="H107" t="s">
        <v>99</v>
      </c>
      <c r="I107">
        <v>311</v>
      </c>
      <c r="J107">
        <v>38</v>
      </c>
      <c r="AI107">
        <v>50000000</v>
      </c>
      <c r="AJ107">
        <v>53127500</v>
      </c>
      <c r="AK107">
        <v>1</v>
      </c>
      <c r="AO107">
        <v>50000000</v>
      </c>
      <c r="AP107">
        <v>53127500</v>
      </c>
      <c r="AQ107">
        <v>1</v>
      </c>
      <c r="AR107">
        <v>0</v>
      </c>
      <c r="AS107">
        <v>0</v>
      </c>
    </row>
    <row r="108" spans="1:45" hidden="1" x14ac:dyDescent="0.25">
      <c r="A108" t="s">
        <v>178</v>
      </c>
      <c r="B108" s="1">
        <v>46007</v>
      </c>
      <c r="C108" t="s">
        <v>303</v>
      </c>
      <c r="E108" s="1">
        <v>46010</v>
      </c>
      <c r="G108" t="s">
        <v>304</v>
      </c>
      <c r="H108" t="s">
        <v>99</v>
      </c>
      <c r="I108">
        <v>38</v>
      </c>
      <c r="AI108">
        <v>303000000</v>
      </c>
      <c r="AJ108">
        <v>290982839.12</v>
      </c>
      <c r="AK108">
        <v>4</v>
      </c>
      <c r="AO108">
        <v>303000000</v>
      </c>
      <c r="AP108">
        <v>290982839.12</v>
      </c>
      <c r="AQ108">
        <v>4</v>
      </c>
      <c r="AR108">
        <v>0</v>
      </c>
      <c r="AS108">
        <v>0</v>
      </c>
    </row>
    <row r="109" spans="1:45" hidden="1" x14ac:dyDescent="0.25">
      <c r="A109" t="s">
        <v>178</v>
      </c>
      <c r="B109" s="1">
        <v>46007</v>
      </c>
      <c r="C109" t="s">
        <v>305</v>
      </c>
      <c r="E109" s="1">
        <v>46007</v>
      </c>
      <c r="G109" t="s">
        <v>304</v>
      </c>
      <c r="H109" t="s">
        <v>99</v>
      </c>
      <c r="I109">
        <v>41</v>
      </c>
      <c r="AI109">
        <v>303000000</v>
      </c>
      <c r="AJ109">
        <v>290033515.31999999</v>
      </c>
      <c r="AK109">
        <v>4</v>
      </c>
      <c r="AO109">
        <v>303000000</v>
      </c>
      <c r="AP109">
        <v>290033515.31999999</v>
      </c>
      <c r="AQ109">
        <v>4</v>
      </c>
      <c r="AR109">
        <v>400020000</v>
      </c>
      <c r="AS109">
        <v>333103041.86000001</v>
      </c>
    </row>
    <row r="110" spans="1:45" hidden="1" x14ac:dyDescent="0.25">
      <c r="A110" t="s">
        <v>178</v>
      </c>
      <c r="B110" s="1">
        <v>46007</v>
      </c>
      <c r="C110" t="s">
        <v>306</v>
      </c>
      <c r="E110" s="1">
        <v>46010</v>
      </c>
      <c r="G110" t="s">
        <v>307</v>
      </c>
      <c r="H110" t="s">
        <v>99</v>
      </c>
      <c r="I110">
        <v>66</v>
      </c>
      <c r="J110">
        <v>66</v>
      </c>
      <c r="K110">
        <v>2.8082142860000001</v>
      </c>
      <c r="AI110">
        <v>205000000</v>
      </c>
      <c r="AJ110">
        <v>210754789.28999999</v>
      </c>
      <c r="AK110">
        <v>3</v>
      </c>
      <c r="AO110">
        <v>205000000</v>
      </c>
      <c r="AP110">
        <v>210754789.28999999</v>
      </c>
      <c r="AQ110">
        <v>3</v>
      </c>
      <c r="AR110">
        <v>0</v>
      </c>
      <c r="AS110">
        <v>0</v>
      </c>
    </row>
    <row r="111" spans="1:45" hidden="1" x14ac:dyDescent="0.25">
      <c r="A111" t="s">
        <v>178</v>
      </c>
      <c r="B111" s="1">
        <v>46007</v>
      </c>
      <c r="C111" t="s">
        <v>308</v>
      </c>
      <c r="E111" s="1">
        <v>46007</v>
      </c>
      <c r="G111" t="s">
        <v>307</v>
      </c>
      <c r="H111" t="s">
        <v>99</v>
      </c>
      <c r="I111">
        <v>69</v>
      </c>
      <c r="J111">
        <v>69</v>
      </c>
      <c r="K111">
        <v>2.4712285710000002</v>
      </c>
      <c r="AI111">
        <v>205000000</v>
      </c>
      <c r="AJ111">
        <v>210066018.56999999</v>
      </c>
      <c r="AK111">
        <v>3</v>
      </c>
      <c r="AO111">
        <v>205000000</v>
      </c>
      <c r="AP111">
        <v>210066018.56999999</v>
      </c>
      <c r="AQ111">
        <v>3</v>
      </c>
      <c r="AR111">
        <v>400060000</v>
      </c>
      <c r="AS111">
        <v>401052942.54000002</v>
      </c>
    </row>
    <row r="112" spans="1:45" hidden="1" x14ac:dyDescent="0.25">
      <c r="A112" t="s">
        <v>178</v>
      </c>
      <c r="B112" s="1">
        <v>46007</v>
      </c>
      <c r="C112" t="s">
        <v>309</v>
      </c>
      <c r="E112" s="1">
        <v>46007</v>
      </c>
      <c r="G112" t="s">
        <v>310</v>
      </c>
      <c r="H112" t="s">
        <v>99</v>
      </c>
      <c r="I112">
        <v>30</v>
      </c>
      <c r="J112">
        <v>30</v>
      </c>
      <c r="K112">
        <v>19.142509580999899</v>
      </c>
      <c r="AI112">
        <v>19000000</v>
      </c>
      <c r="AJ112">
        <v>22567156.82</v>
      </c>
      <c r="AK112">
        <v>1</v>
      </c>
      <c r="AO112">
        <v>19000000</v>
      </c>
      <c r="AP112">
        <v>22567156.82</v>
      </c>
      <c r="AQ112">
        <v>1</v>
      </c>
      <c r="AR112">
        <v>0</v>
      </c>
      <c r="AS112">
        <v>0</v>
      </c>
    </row>
    <row r="113" spans="1:45" hidden="1" x14ac:dyDescent="0.25">
      <c r="A113" t="s">
        <v>178</v>
      </c>
      <c r="B113" s="1">
        <v>46007</v>
      </c>
      <c r="C113" t="s">
        <v>311</v>
      </c>
      <c r="E113" s="1">
        <v>46007</v>
      </c>
      <c r="G113" t="s">
        <v>312</v>
      </c>
      <c r="H113" t="s">
        <v>99</v>
      </c>
      <c r="I113">
        <v>72</v>
      </c>
      <c r="AI113">
        <v>100000000</v>
      </c>
      <c r="AJ113">
        <v>93016570.709999993</v>
      </c>
      <c r="AK113">
        <v>2</v>
      </c>
      <c r="AO113">
        <v>100000000</v>
      </c>
      <c r="AP113">
        <v>93016570.709999993</v>
      </c>
      <c r="AQ113">
        <v>2</v>
      </c>
      <c r="AR113">
        <v>0</v>
      </c>
      <c r="AS113">
        <v>0</v>
      </c>
    </row>
    <row r="114" spans="1:45" hidden="1" x14ac:dyDescent="0.25">
      <c r="A114" t="s">
        <v>96</v>
      </c>
      <c r="B114" s="1">
        <v>46007</v>
      </c>
      <c r="C114" t="s">
        <v>313</v>
      </c>
      <c r="E114" s="1">
        <v>46007</v>
      </c>
      <c r="F114" s="1">
        <v>46008</v>
      </c>
      <c r="G114" t="s">
        <v>314</v>
      </c>
      <c r="H114" t="s">
        <v>99</v>
      </c>
      <c r="I114">
        <v>1</v>
      </c>
      <c r="AI114">
        <v>578686</v>
      </c>
      <c r="AJ114">
        <v>58100000</v>
      </c>
      <c r="AK114">
        <v>1</v>
      </c>
      <c r="AO114">
        <v>578686</v>
      </c>
      <c r="AP114">
        <v>58100000</v>
      </c>
      <c r="AQ114">
        <v>1</v>
      </c>
    </row>
    <row r="115" spans="1:45" hidden="1" x14ac:dyDescent="0.25">
      <c r="A115" t="s">
        <v>178</v>
      </c>
      <c r="B115" s="1">
        <v>46007</v>
      </c>
      <c r="C115" t="s">
        <v>315</v>
      </c>
      <c r="E115" s="1">
        <v>46007</v>
      </c>
      <c r="G115" t="s">
        <v>316</v>
      </c>
      <c r="H115" t="s">
        <v>99</v>
      </c>
      <c r="I115">
        <v>289</v>
      </c>
      <c r="J115">
        <v>6</v>
      </c>
      <c r="AI115">
        <v>32000000</v>
      </c>
      <c r="AJ115">
        <v>35090880</v>
      </c>
      <c r="AK115">
        <v>1</v>
      </c>
      <c r="AO115">
        <v>32000000</v>
      </c>
      <c r="AP115">
        <v>35090880</v>
      </c>
      <c r="AQ115">
        <v>1</v>
      </c>
      <c r="AR115">
        <v>0</v>
      </c>
      <c r="AS115">
        <v>0</v>
      </c>
    </row>
    <row r="116" spans="1:45" hidden="1" x14ac:dyDescent="0.25">
      <c r="A116" t="s">
        <v>178</v>
      </c>
      <c r="B116" s="1">
        <v>46007</v>
      </c>
      <c r="C116" t="s">
        <v>317</v>
      </c>
      <c r="E116" s="1">
        <v>46007</v>
      </c>
      <c r="G116" t="s">
        <v>318</v>
      </c>
      <c r="H116" t="s">
        <v>99</v>
      </c>
      <c r="I116">
        <v>77</v>
      </c>
      <c r="J116">
        <v>77</v>
      </c>
      <c r="AI116">
        <v>1000000</v>
      </c>
      <c r="AJ116">
        <v>1026970</v>
      </c>
      <c r="AK116">
        <v>1</v>
      </c>
      <c r="AO116">
        <v>1000000</v>
      </c>
      <c r="AP116">
        <v>1026970</v>
      </c>
      <c r="AQ116">
        <v>1</v>
      </c>
      <c r="AR116">
        <v>22050000</v>
      </c>
      <c r="AS116">
        <v>23488606.800000001</v>
      </c>
    </row>
    <row r="117" spans="1:45" hidden="1" x14ac:dyDescent="0.25">
      <c r="A117" t="s">
        <v>260</v>
      </c>
      <c r="B117" s="1">
        <v>46007</v>
      </c>
      <c r="C117" t="s">
        <v>319</v>
      </c>
      <c r="E117" s="1">
        <v>46007</v>
      </c>
      <c r="F117" s="1">
        <v>46008</v>
      </c>
      <c r="G117" t="s">
        <v>318</v>
      </c>
      <c r="H117" t="s">
        <v>99</v>
      </c>
      <c r="I117">
        <v>1</v>
      </c>
      <c r="AI117">
        <v>520000000</v>
      </c>
      <c r="AJ117">
        <v>520000000</v>
      </c>
      <c r="AK117">
        <v>10</v>
      </c>
      <c r="AO117">
        <v>520000000</v>
      </c>
      <c r="AP117">
        <v>520000000</v>
      </c>
      <c r="AQ117">
        <v>10</v>
      </c>
    </row>
    <row r="118" spans="1:45" hidden="1" x14ac:dyDescent="0.25">
      <c r="A118" t="s">
        <v>178</v>
      </c>
      <c r="B118" s="1">
        <v>46007</v>
      </c>
      <c r="C118" t="s">
        <v>320</v>
      </c>
      <c r="E118" s="1">
        <v>46008</v>
      </c>
      <c r="G118" t="s">
        <v>321</v>
      </c>
      <c r="H118" t="s">
        <v>99</v>
      </c>
      <c r="I118">
        <v>254</v>
      </c>
      <c r="J118">
        <v>71</v>
      </c>
      <c r="AI118">
        <v>20000000</v>
      </c>
      <c r="AJ118">
        <v>20470000</v>
      </c>
      <c r="AK118">
        <v>1</v>
      </c>
      <c r="AO118">
        <v>20000000</v>
      </c>
      <c r="AP118">
        <v>20470000</v>
      </c>
      <c r="AQ118">
        <v>1</v>
      </c>
      <c r="AR118">
        <v>0</v>
      </c>
      <c r="AS118">
        <v>0</v>
      </c>
    </row>
    <row r="119" spans="1:45" s="2" customFormat="1" x14ac:dyDescent="0.25">
      <c r="A119" s="2" t="s">
        <v>178</v>
      </c>
      <c r="B119" s="3">
        <v>46007</v>
      </c>
      <c r="C119" s="2" t="s">
        <v>181</v>
      </c>
      <c r="D119" s="3">
        <f>DATE(MID(C119,8,2)+100,MID(C119,6,2),MID(C119,4,2))</f>
        <v>46190</v>
      </c>
      <c r="E119" s="3">
        <v>46007</v>
      </c>
      <c r="G119" s="2" t="s">
        <v>182</v>
      </c>
      <c r="H119" s="2" t="s">
        <v>99</v>
      </c>
      <c r="I119" s="2">
        <v>183</v>
      </c>
      <c r="K119"/>
      <c r="L119">
        <v>84.760999999999996</v>
      </c>
      <c r="M119">
        <v>84.760999999999996</v>
      </c>
      <c r="N119">
        <v>84.817999999999998</v>
      </c>
      <c r="O119">
        <v>84.817999999999998</v>
      </c>
      <c r="P119">
        <v>84.787999999999997</v>
      </c>
      <c r="Q119" s="2">
        <v>84.787999999999997</v>
      </c>
      <c r="R119" s="3">
        <v>46006</v>
      </c>
      <c r="S119" s="2">
        <v>84.614999999999995</v>
      </c>
      <c r="T119" s="2">
        <v>84.65</v>
      </c>
      <c r="U119" s="2">
        <v>35.86</v>
      </c>
      <c r="V119" s="2">
        <v>35.700000000000003</v>
      </c>
      <c r="W119" s="2">
        <v>35.86</v>
      </c>
      <c r="X119" s="2">
        <v>35.700000000000003</v>
      </c>
      <c r="Y119" s="2">
        <v>35.78</v>
      </c>
      <c r="Z119" s="2">
        <v>38.880000000000003</v>
      </c>
      <c r="AA119" s="2">
        <v>38.979999999999997</v>
      </c>
      <c r="AB119" s="2">
        <v>0.2</v>
      </c>
      <c r="AC119" s="2">
        <v>0.2</v>
      </c>
      <c r="AD119" s="2">
        <v>-0.74</v>
      </c>
      <c r="AE119" s="2">
        <v>-0.79</v>
      </c>
      <c r="AF119" s="2">
        <v>2268000000</v>
      </c>
      <c r="AG119" s="2">
        <v>1922987063.46</v>
      </c>
      <c r="AH119" s="2">
        <v>69</v>
      </c>
      <c r="AI119" s="2">
        <v>44000000</v>
      </c>
      <c r="AJ119" s="2">
        <v>37320109.399999999</v>
      </c>
      <c r="AK119" s="2">
        <v>1</v>
      </c>
      <c r="AO119" s="2">
        <v>2312000000</v>
      </c>
      <c r="AP119" s="2">
        <v>1960307172.8599999</v>
      </c>
      <c r="AQ119" s="2">
        <v>70</v>
      </c>
      <c r="AR119" s="2">
        <v>75184000000</v>
      </c>
      <c r="AS119" s="2">
        <v>60308528295.709999</v>
      </c>
    </row>
    <row r="120" spans="1:45" s="2" customFormat="1" x14ac:dyDescent="0.25">
      <c r="A120" s="2" t="s">
        <v>178</v>
      </c>
      <c r="B120" s="3">
        <v>46007</v>
      </c>
      <c r="C120" s="2" t="s">
        <v>325</v>
      </c>
      <c r="D120" s="3">
        <f>DATE(MID(C120,8,2)+100,MID(C120,6,2),MID(C120,4,2))</f>
        <v>46206</v>
      </c>
      <c r="E120" s="3">
        <v>46007</v>
      </c>
      <c r="G120" s="2" t="s">
        <v>326</v>
      </c>
      <c r="H120" s="2" t="s">
        <v>99</v>
      </c>
      <c r="I120" s="2">
        <v>199</v>
      </c>
      <c r="J120" s="2">
        <v>17</v>
      </c>
      <c r="K120"/>
      <c r="L120">
        <v>6060</v>
      </c>
      <c r="M120">
        <v>6060</v>
      </c>
      <c r="N120">
        <v>6060</v>
      </c>
      <c r="O120">
        <v>6060</v>
      </c>
      <c r="P120">
        <v>6060</v>
      </c>
      <c r="Q120" s="2">
        <v>6060</v>
      </c>
      <c r="R120" s="3">
        <v>45729</v>
      </c>
      <c r="S120" s="2">
        <v>3650</v>
      </c>
      <c r="T120" s="2">
        <v>3650</v>
      </c>
      <c r="AB120" s="2">
        <v>66.03</v>
      </c>
      <c r="AC120" s="2">
        <v>66.03</v>
      </c>
      <c r="AF120" s="2">
        <v>5970</v>
      </c>
      <c r="AG120" s="2">
        <v>36178200</v>
      </c>
      <c r="AH120" s="2">
        <v>1</v>
      </c>
      <c r="AO120" s="2">
        <v>5970</v>
      </c>
      <c r="AP120" s="2">
        <v>36178200</v>
      </c>
      <c r="AQ120" s="2">
        <v>1</v>
      </c>
      <c r="AR120" s="2">
        <v>65670</v>
      </c>
      <c r="AS120" s="2">
        <v>221089000</v>
      </c>
    </row>
    <row r="121" spans="1:45" hidden="1" x14ac:dyDescent="0.25">
      <c r="A121" t="s">
        <v>260</v>
      </c>
      <c r="B121" s="1">
        <v>46007</v>
      </c>
      <c r="C121" t="s">
        <v>330</v>
      </c>
      <c r="E121" s="1">
        <v>46007</v>
      </c>
      <c r="F121" s="1">
        <v>46008</v>
      </c>
      <c r="G121" t="s">
        <v>328</v>
      </c>
      <c r="H121" t="s">
        <v>99</v>
      </c>
      <c r="I121">
        <v>1</v>
      </c>
      <c r="AI121">
        <v>58434240</v>
      </c>
      <c r="AJ121">
        <v>70000000</v>
      </c>
      <c r="AK121">
        <v>1</v>
      </c>
      <c r="AO121">
        <v>58434240</v>
      </c>
      <c r="AP121">
        <v>70000000</v>
      </c>
      <c r="AQ121">
        <v>1</v>
      </c>
    </row>
    <row r="122" spans="1:45" s="2" customFormat="1" x14ac:dyDescent="0.25">
      <c r="A122" s="2" t="s">
        <v>178</v>
      </c>
      <c r="B122" s="3">
        <v>46007</v>
      </c>
      <c r="C122" s="2" t="s">
        <v>369</v>
      </c>
      <c r="D122" s="3">
        <f>DATE(MID(C122,8,2)+100,MID(C122,6,2),MID(C122,4,2))</f>
        <v>46246</v>
      </c>
      <c r="E122" s="3">
        <v>46007</v>
      </c>
      <c r="G122" s="2" t="s">
        <v>370</v>
      </c>
      <c r="H122" s="2" t="s">
        <v>99</v>
      </c>
      <c r="I122" s="2">
        <v>239</v>
      </c>
      <c r="J122" s="2">
        <v>57</v>
      </c>
      <c r="K122">
        <v>12.3626373629999</v>
      </c>
      <c r="L122">
        <v>99.8</v>
      </c>
      <c r="M122">
        <v>99.75</v>
      </c>
      <c r="N122">
        <v>99.875</v>
      </c>
      <c r="O122">
        <v>99.875</v>
      </c>
      <c r="P122">
        <v>99.805999999999997</v>
      </c>
      <c r="Q122" s="2">
        <v>112.169</v>
      </c>
      <c r="R122" s="3">
        <v>46003</v>
      </c>
      <c r="S122" s="2">
        <v>99.6</v>
      </c>
      <c r="T122" s="2">
        <v>99.6</v>
      </c>
      <c r="U122" s="2">
        <v>35.78</v>
      </c>
      <c r="V122" s="2">
        <v>35.64</v>
      </c>
      <c r="W122" s="2">
        <v>35.869999999999997</v>
      </c>
      <c r="X122" s="2">
        <v>35.64</v>
      </c>
      <c r="Y122" s="2">
        <v>35.770000000000003</v>
      </c>
      <c r="Z122" s="2">
        <v>38.82</v>
      </c>
      <c r="AA122" s="2">
        <v>38.96</v>
      </c>
      <c r="AB122" s="2">
        <v>0.28000000000000003</v>
      </c>
      <c r="AC122" s="2">
        <v>0.21</v>
      </c>
      <c r="AD122" s="2">
        <v>-1.42</v>
      </c>
      <c r="AE122" s="2">
        <v>-1.07</v>
      </c>
      <c r="AF122" s="2">
        <v>190000000</v>
      </c>
      <c r="AG122" s="2">
        <v>213120460.99000001</v>
      </c>
      <c r="AH122" s="2">
        <v>13</v>
      </c>
      <c r="AI122" s="2">
        <v>700000000</v>
      </c>
      <c r="AJ122" s="2">
        <v>785318461.60000002</v>
      </c>
      <c r="AK122" s="2">
        <v>25</v>
      </c>
      <c r="AO122" s="2">
        <v>890000000</v>
      </c>
      <c r="AP122" s="2">
        <v>998438922.59000003</v>
      </c>
      <c r="AQ122" s="2">
        <v>38</v>
      </c>
      <c r="AR122" s="2">
        <v>35098000000</v>
      </c>
      <c r="AS122" s="2">
        <v>37532892222.300003</v>
      </c>
    </row>
    <row r="123" spans="1:45" hidden="1" x14ac:dyDescent="0.25">
      <c r="A123" t="s">
        <v>333</v>
      </c>
      <c r="B123" s="1">
        <v>46007</v>
      </c>
      <c r="C123" t="s">
        <v>334</v>
      </c>
      <c r="E123" s="1">
        <v>46007</v>
      </c>
      <c r="G123" t="s">
        <v>332</v>
      </c>
      <c r="H123" t="s">
        <v>99</v>
      </c>
      <c r="I123">
        <v>505</v>
      </c>
      <c r="J123">
        <v>141</v>
      </c>
      <c r="K123">
        <v>4.1856043959999898</v>
      </c>
      <c r="AI123">
        <v>700000</v>
      </c>
      <c r="AJ123">
        <v>687859.23</v>
      </c>
      <c r="AK123">
        <v>1</v>
      </c>
      <c r="AO123">
        <v>700000</v>
      </c>
      <c r="AP123">
        <v>687859.23</v>
      </c>
      <c r="AQ123">
        <v>1</v>
      </c>
      <c r="AR123">
        <v>0</v>
      </c>
      <c r="AS123">
        <v>0</v>
      </c>
    </row>
    <row r="124" spans="1:45" s="2" customFormat="1" x14ac:dyDescent="0.25">
      <c r="A124" s="2" t="s">
        <v>178</v>
      </c>
      <c r="B124" s="3">
        <v>46007</v>
      </c>
      <c r="C124" s="2" t="s">
        <v>361</v>
      </c>
      <c r="D124" s="3">
        <f>DATE(MID(C124,8,2)+100,MID(C124,6,2),MID(C124,4,2))</f>
        <v>46428</v>
      </c>
      <c r="E124" s="3">
        <v>46007</v>
      </c>
      <c r="G124" s="2" t="s">
        <v>362</v>
      </c>
      <c r="H124" s="2" t="s">
        <v>99</v>
      </c>
      <c r="I124" s="2">
        <v>421</v>
      </c>
      <c r="J124" s="2">
        <v>57</v>
      </c>
      <c r="K124">
        <v>11.195054945000001</v>
      </c>
      <c r="L124">
        <v>97.15</v>
      </c>
      <c r="M124">
        <v>97.15</v>
      </c>
      <c r="N124">
        <v>97.3</v>
      </c>
      <c r="O124">
        <v>97.275000000000006</v>
      </c>
      <c r="P124">
        <v>97.192999999999998</v>
      </c>
      <c r="Q124" s="2">
        <v>108.38800000000001</v>
      </c>
      <c r="R124" s="3">
        <v>46006</v>
      </c>
      <c r="S124" s="2">
        <v>97.075000000000003</v>
      </c>
      <c r="T124" s="2">
        <v>97.075000000000003</v>
      </c>
      <c r="U124" s="2">
        <v>35.49</v>
      </c>
      <c r="V124" s="2">
        <v>35.32</v>
      </c>
      <c r="W124" s="2">
        <v>35.49</v>
      </c>
      <c r="X124" s="2">
        <v>35.35</v>
      </c>
      <c r="Y124" s="2">
        <v>35.44</v>
      </c>
      <c r="Z124" s="2">
        <v>38.47</v>
      </c>
      <c r="AA124" s="2">
        <v>38.58</v>
      </c>
      <c r="AB124" s="2">
        <v>0.21</v>
      </c>
      <c r="AC124" s="2">
        <v>0.12</v>
      </c>
      <c r="AD124" s="2">
        <v>-0.65</v>
      </c>
      <c r="AE124" s="2">
        <v>-0.36</v>
      </c>
      <c r="AF124" s="2">
        <v>15000000</v>
      </c>
      <c r="AG124" s="2">
        <v>16258258.24</v>
      </c>
      <c r="AH124" s="2">
        <v>3</v>
      </c>
      <c r="AO124" s="2">
        <v>15000000</v>
      </c>
      <c r="AP124" s="2">
        <v>16258258.24</v>
      </c>
      <c r="AQ124" s="2">
        <v>3</v>
      </c>
      <c r="AR124" s="2">
        <v>17208000000</v>
      </c>
      <c r="AS124" s="2">
        <v>17296228578.07</v>
      </c>
    </row>
    <row r="125" spans="1:45" hidden="1" x14ac:dyDescent="0.25">
      <c r="A125" t="s">
        <v>178</v>
      </c>
      <c r="B125" s="1">
        <v>46007</v>
      </c>
      <c r="C125" t="s">
        <v>331</v>
      </c>
      <c r="D125" s="1">
        <f>DATE(MID(C125,8,2)+100,MID(C125,6,2),MID(C125,4,2))</f>
        <v>46512</v>
      </c>
      <c r="E125" s="1">
        <v>46007</v>
      </c>
      <c r="G125" t="s">
        <v>332</v>
      </c>
      <c r="H125" t="s">
        <v>99</v>
      </c>
      <c r="I125">
        <v>505</v>
      </c>
      <c r="J125">
        <v>141</v>
      </c>
      <c r="K125">
        <v>4.1856043959999898</v>
      </c>
      <c r="AI125">
        <v>1000000</v>
      </c>
      <c r="AJ125">
        <v>982656.04</v>
      </c>
      <c r="AK125">
        <v>1</v>
      </c>
      <c r="AO125">
        <v>1000000</v>
      </c>
      <c r="AP125">
        <v>982656.04</v>
      </c>
      <c r="AQ125">
        <v>1</v>
      </c>
      <c r="AR125">
        <v>18000000</v>
      </c>
      <c r="AS125">
        <v>18621516.949999999</v>
      </c>
    </row>
    <row r="126" spans="1:45" s="2" customFormat="1" x14ac:dyDescent="0.25">
      <c r="A126" s="2" t="s">
        <v>178</v>
      </c>
      <c r="B126" s="3">
        <v>46007</v>
      </c>
      <c r="C126" s="2" t="s">
        <v>335</v>
      </c>
      <c r="D126" s="3">
        <f>DATE(MID(C126,8,2)+100,MID(C126,6,2),MID(C126,4,2))</f>
        <v>46512</v>
      </c>
      <c r="E126" s="3">
        <v>46007</v>
      </c>
      <c r="G126" s="2" t="s">
        <v>336</v>
      </c>
      <c r="H126" s="2" t="s">
        <v>99</v>
      </c>
      <c r="I126" s="2">
        <v>505</v>
      </c>
      <c r="J126" s="2">
        <v>141</v>
      </c>
      <c r="K126">
        <v>4.6181318679999901</v>
      </c>
      <c r="L126">
        <v>105.5</v>
      </c>
      <c r="M126">
        <v>105.5</v>
      </c>
      <c r="N126">
        <v>105.55</v>
      </c>
      <c r="O126">
        <v>105.55</v>
      </c>
      <c r="P126">
        <v>105.53</v>
      </c>
      <c r="Q126" s="2">
        <v>110.148</v>
      </c>
      <c r="R126" s="3">
        <v>46002</v>
      </c>
      <c r="S126" s="2">
        <v>105.75</v>
      </c>
      <c r="T126" s="2">
        <v>105.75</v>
      </c>
      <c r="U126" s="2">
        <v>35.369999999999997</v>
      </c>
      <c r="V126" s="2">
        <v>35.32</v>
      </c>
      <c r="W126" s="2">
        <v>35.369999999999997</v>
      </c>
      <c r="X126" s="2">
        <v>35.32</v>
      </c>
      <c r="Y126" s="2">
        <v>35.340000000000003</v>
      </c>
      <c r="Z126" s="2">
        <v>38.44</v>
      </c>
      <c r="AA126" s="2">
        <v>38.46</v>
      </c>
      <c r="AB126" s="2">
        <v>-0.19</v>
      </c>
      <c r="AC126" s="2">
        <v>-0.21</v>
      </c>
      <c r="AD126" s="2">
        <v>0.34</v>
      </c>
      <c r="AE126" s="2">
        <v>0.39</v>
      </c>
      <c r="AF126" s="2">
        <v>10000000</v>
      </c>
      <c r="AG126" s="2">
        <v>11014813.18</v>
      </c>
      <c r="AH126" s="2">
        <v>3</v>
      </c>
      <c r="AO126" s="2">
        <v>10000000</v>
      </c>
      <c r="AP126" s="2">
        <v>11014813.18</v>
      </c>
      <c r="AQ126" s="2">
        <v>3</v>
      </c>
      <c r="AR126" s="2">
        <v>16973000000</v>
      </c>
      <c r="AS126" s="2">
        <v>18938968140.41</v>
      </c>
    </row>
    <row r="127" spans="1:45" x14ac:dyDescent="0.25">
      <c r="A127" t="s">
        <v>178</v>
      </c>
      <c r="B127" s="1">
        <v>46007</v>
      </c>
      <c r="C127" t="s">
        <v>384</v>
      </c>
      <c r="D127" s="1">
        <f>DATE(MID(C127,8,2)+100,MID(C127,6,2),MID(C127,4,2))</f>
        <v>46582</v>
      </c>
      <c r="E127" s="1">
        <v>46007</v>
      </c>
      <c r="G127" t="s">
        <v>385</v>
      </c>
      <c r="H127" t="s">
        <v>99</v>
      </c>
      <c r="I127">
        <v>575</v>
      </c>
      <c r="J127">
        <v>29</v>
      </c>
      <c r="K127">
        <v>15.905274725</v>
      </c>
      <c r="L127">
        <v>102.8</v>
      </c>
      <c r="M127">
        <v>102.75</v>
      </c>
      <c r="N127">
        <v>102.8</v>
      </c>
      <c r="O127">
        <v>102.8</v>
      </c>
      <c r="P127">
        <v>102.794</v>
      </c>
      <c r="Q127">
        <v>118.699</v>
      </c>
      <c r="R127" s="1">
        <v>46006</v>
      </c>
      <c r="S127">
        <v>102.7</v>
      </c>
      <c r="T127">
        <v>102.7</v>
      </c>
      <c r="U127">
        <v>35.200000000000003</v>
      </c>
      <c r="V127">
        <v>35.200000000000003</v>
      </c>
      <c r="W127">
        <v>35.24</v>
      </c>
      <c r="X127">
        <v>35.200000000000003</v>
      </c>
      <c r="Y127">
        <v>35.200000000000003</v>
      </c>
      <c r="Z127">
        <v>38.299999999999997</v>
      </c>
      <c r="AA127">
        <v>38.299999999999997</v>
      </c>
      <c r="AB127">
        <v>0.1</v>
      </c>
      <c r="AC127">
        <v>0.09</v>
      </c>
      <c r="AD127">
        <v>-0.23</v>
      </c>
      <c r="AE127">
        <v>-0.23</v>
      </c>
      <c r="AF127">
        <v>26000000</v>
      </c>
      <c r="AG127">
        <v>30861871.43</v>
      </c>
      <c r="AH127">
        <v>4</v>
      </c>
      <c r="AO127">
        <v>26000000</v>
      </c>
      <c r="AP127">
        <v>30861871.43</v>
      </c>
      <c r="AQ127">
        <v>4</v>
      </c>
      <c r="AR127">
        <v>33512000000</v>
      </c>
      <c r="AS127">
        <v>36231355202.989998</v>
      </c>
    </row>
    <row r="128" spans="1:45" x14ac:dyDescent="0.25">
      <c r="A128" t="s">
        <v>178</v>
      </c>
      <c r="B128" s="1">
        <v>46007</v>
      </c>
      <c r="C128" t="s">
        <v>386</v>
      </c>
      <c r="D128" s="1">
        <f>DATE(MID(C128,8,2)+100,MID(C128,6,2),MID(C128,4,2))</f>
        <v>46582</v>
      </c>
      <c r="E128" s="1">
        <v>46008</v>
      </c>
      <c r="G128" t="s">
        <v>385</v>
      </c>
      <c r="H128" t="s">
        <v>99</v>
      </c>
      <c r="I128">
        <v>574</v>
      </c>
      <c r="J128">
        <v>28</v>
      </c>
      <c r="K128">
        <v>16.009230768999899</v>
      </c>
      <c r="L128">
        <v>102.75</v>
      </c>
      <c r="M128">
        <v>102.75</v>
      </c>
      <c r="N128">
        <v>102.95</v>
      </c>
      <c r="O128">
        <v>102.9</v>
      </c>
      <c r="P128">
        <v>102.79600000000001</v>
      </c>
      <c r="Q128">
        <v>118.80500000000001</v>
      </c>
      <c r="R128" s="1">
        <v>46006</v>
      </c>
      <c r="S128">
        <v>102.71299999999999</v>
      </c>
      <c r="T128">
        <v>102.675</v>
      </c>
      <c r="U128">
        <v>35.24</v>
      </c>
      <c r="V128">
        <v>35.07</v>
      </c>
      <c r="W128">
        <v>35.24</v>
      </c>
      <c r="X128">
        <v>35.11</v>
      </c>
      <c r="Y128">
        <v>35.200000000000003</v>
      </c>
      <c r="Z128">
        <v>38.19</v>
      </c>
      <c r="AA128">
        <v>38.299999999999997</v>
      </c>
      <c r="AB128">
        <v>0.22</v>
      </c>
      <c r="AC128">
        <v>0.08</v>
      </c>
      <c r="AD128">
        <v>-0.6</v>
      </c>
      <c r="AE128">
        <v>-0.21</v>
      </c>
      <c r="AF128">
        <v>1312000000</v>
      </c>
      <c r="AG128">
        <v>1558726357.75</v>
      </c>
      <c r="AH128">
        <v>51</v>
      </c>
      <c r="AI128">
        <v>1000000</v>
      </c>
      <c r="AJ128">
        <v>1187592.31</v>
      </c>
      <c r="AK128">
        <v>1</v>
      </c>
      <c r="AO128">
        <v>1313000000</v>
      </c>
      <c r="AP128">
        <v>1559913950.0599999</v>
      </c>
      <c r="AQ128">
        <v>52</v>
      </c>
      <c r="AR128">
        <v>122137000000</v>
      </c>
      <c r="AS128">
        <v>133049043039</v>
      </c>
    </row>
    <row r="129" spans="1:45" x14ac:dyDescent="0.25">
      <c r="A129" t="s">
        <v>178</v>
      </c>
      <c r="B129" s="1">
        <v>46007</v>
      </c>
      <c r="C129" t="s">
        <v>387</v>
      </c>
      <c r="D129" s="1">
        <f>DATE(MID(C129,8,2)+100,MID(C129,6,2),MID(C129,4,2))</f>
        <v>46645</v>
      </c>
      <c r="E129" s="1">
        <v>46008</v>
      </c>
      <c r="G129" t="s">
        <v>388</v>
      </c>
      <c r="H129" t="s">
        <v>99</v>
      </c>
      <c r="I129">
        <v>637</v>
      </c>
      <c r="J129">
        <v>91</v>
      </c>
      <c r="K129">
        <v>2.5699999999999901</v>
      </c>
      <c r="L129">
        <v>69.599999999999994</v>
      </c>
      <c r="M129">
        <v>69.599999999999994</v>
      </c>
      <c r="N129">
        <v>69.599999999999994</v>
      </c>
      <c r="O129">
        <v>69.599999999999994</v>
      </c>
      <c r="P129">
        <v>69.599999999999994</v>
      </c>
      <c r="Q129">
        <v>72.17</v>
      </c>
      <c r="R129" s="1">
        <v>46003</v>
      </c>
      <c r="S129">
        <v>69.153000000000006</v>
      </c>
      <c r="T129">
        <v>69.468999999999994</v>
      </c>
      <c r="U129">
        <v>34.83</v>
      </c>
      <c r="V129">
        <v>34.83</v>
      </c>
      <c r="W129">
        <v>34.83</v>
      </c>
      <c r="X129">
        <v>34.83</v>
      </c>
      <c r="Y129">
        <v>34.83</v>
      </c>
      <c r="Z129">
        <v>37.86</v>
      </c>
      <c r="AA129">
        <v>37.86</v>
      </c>
      <c r="AB129">
        <v>0.19</v>
      </c>
      <c r="AC129">
        <v>0.65</v>
      </c>
      <c r="AD129">
        <v>-0.18</v>
      </c>
      <c r="AE129">
        <v>-1.2</v>
      </c>
      <c r="AF129">
        <v>553000000</v>
      </c>
      <c r="AG129">
        <v>399100100</v>
      </c>
      <c r="AH129">
        <v>25</v>
      </c>
      <c r="AO129">
        <v>553000000</v>
      </c>
      <c r="AP129">
        <v>399100100</v>
      </c>
      <c r="AQ129">
        <v>25</v>
      </c>
      <c r="AR129">
        <v>7794000000</v>
      </c>
      <c r="AS129">
        <v>6391632783.9399996</v>
      </c>
    </row>
    <row r="130" spans="1:45" x14ac:dyDescent="0.25">
      <c r="A130" t="s">
        <v>178</v>
      </c>
      <c r="B130" s="1">
        <v>46007</v>
      </c>
      <c r="C130" t="s">
        <v>379</v>
      </c>
      <c r="D130" s="1">
        <f>DATE(MID(C130,8,2)+100,MID(C130,6,2),MID(C130,4,2))</f>
        <v>46673</v>
      </c>
      <c r="E130" s="1">
        <v>46007</v>
      </c>
      <c r="G130" t="s">
        <v>380</v>
      </c>
      <c r="H130" t="s">
        <v>99</v>
      </c>
      <c r="I130">
        <v>666</v>
      </c>
      <c r="J130">
        <v>29</v>
      </c>
      <c r="K130">
        <v>6.9087875079999899</v>
      </c>
      <c r="L130">
        <v>100.47499999999999</v>
      </c>
      <c r="M130">
        <v>100.47499999999999</v>
      </c>
      <c r="N130">
        <v>100.47499999999999</v>
      </c>
      <c r="O130">
        <v>100.47499999999999</v>
      </c>
      <c r="P130">
        <v>100.47499999999999</v>
      </c>
      <c r="Q130">
        <v>107.384</v>
      </c>
      <c r="R130" s="1">
        <v>46003</v>
      </c>
      <c r="S130">
        <v>100.55</v>
      </c>
      <c r="T130">
        <v>100.55</v>
      </c>
      <c r="AB130">
        <v>-7.0000000000000007E-2</v>
      </c>
      <c r="AC130">
        <v>-7.0000000000000007E-2</v>
      </c>
      <c r="AF130">
        <v>10000000</v>
      </c>
      <c r="AG130">
        <v>10738378.75</v>
      </c>
      <c r="AH130">
        <v>1</v>
      </c>
      <c r="AO130">
        <v>10000000</v>
      </c>
      <c r="AP130">
        <v>10738378.75</v>
      </c>
      <c r="AQ130">
        <v>1</v>
      </c>
      <c r="AR130">
        <v>17483000000</v>
      </c>
      <c r="AS130">
        <v>18417725144.049999</v>
      </c>
    </row>
    <row r="131" spans="1:45" hidden="1" x14ac:dyDescent="0.25">
      <c r="A131" t="s">
        <v>333</v>
      </c>
      <c r="B131" s="1">
        <v>46007</v>
      </c>
      <c r="C131" t="s">
        <v>351</v>
      </c>
      <c r="E131" s="1">
        <v>46007</v>
      </c>
      <c r="G131" t="s">
        <v>349</v>
      </c>
      <c r="H131" t="s">
        <v>99</v>
      </c>
      <c r="I131">
        <v>1086</v>
      </c>
      <c r="J131">
        <v>85</v>
      </c>
      <c r="K131">
        <v>0.63572925899999899</v>
      </c>
      <c r="AI131">
        <v>170000</v>
      </c>
      <c r="AJ131">
        <v>170497.64</v>
      </c>
      <c r="AK131">
        <v>1</v>
      </c>
      <c r="AO131">
        <v>170000</v>
      </c>
      <c r="AP131">
        <v>170497.64</v>
      </c>
      <c r="AQ131">
        <v>1</v>
      </c>
      <c r="AR131">
        <v>7870000</v>
      </c>
      <c r="AS131">
        <v>8057932.4100000001</v>
      </c>
    </row>
    <row r="132" spans="1:45" hidden="1" x14ac:dyDescent="0.25">
      <c r="A132" t="s">
        <v>260</v>
      </c>
      <c r="B132" s="1">
        <v>46007</v>
      </c>
      <c r="C132" t="s">
        <v>352</v>
      </c>
      <c r="E132" s="1">
        <v>46007</v>
      </c>
      <c r="F132" s="1">
        <v>46008</v>
      </c>
      <c r="G132" t="s">
        <v>349</v>
      </c>
      <c r="H132" t="s">
        <v>99</v>
      </c>
      <c r="I132">
        <v>1</v>
      </c>
      <c r="AI132">
        <v>1706554915</v>
      </c>
      <c r="AJ132">
        <v>1711430000</v>
      </c>
      <c r="AK132">
        <v>19</v>
      </c>
      <c r="AO132">
        <v>1706554915</v>
      </c>
      <c r="AP132">
        <v>1711430000</v>
      </c>
      <c r="AQ132">
        <v>19</v>
      </c>
    </row>
    <row r="133" spans="1:45" x14ac:dyDescent="0.25">
      <c r="A133" t="s">
        <v>178</v>
      </c>
      <c r="B133" s="1">
        <v>46007</v>
      </c>
      <c r="C133" t="s">
        <v>381</v>
      </c>
      <c r="D133" s="1">
        <f>DATE(MID(C133,8,2)+100,MID(C133,6,2),MID(C133,4,2))</f>
        <v>46673</v>
      </c>
      <c r="E133" s="1">
        <v>46007</v>
      </c>
      <c r="G133" t="s">
        <v>382</v>
      </c>
      <c r="H133" t="s">
        <v>99</v>
      </c>
      <c r="I133">
        <v>666</v>
      </c>
      <c r="J133">
        <v>120</v>
      </c>
      <c r="K133">
        <v>6.264725275</v>
      </c>
      <c r="L133">
        <v>102</v>
      </c>
      <c r="M133">
        <v>102</v>
      </c>
      <c r="N133">
        <v>102</v>
      </c>
      <c r="O133">
        <v>102</v>
      </c>
      <c r="P133">
        <v>102</v>
      </c>
      <c r="Q133">
        <v>108.265</v>
      </c>
      <c r="R133" s="1">
        <v>46006</v>
      </c>
      <c r="S133">
        <v>102.008</v>
      </c>
      <c r="T133">
        <v>102</v>
      </c>
      <c r="U133">
        <v>34.950000000000003</v>
      </c>
      <c r="V133">
        <v>34.950000000000003</v>
      </c>
      <c r="W133">
        <v>34.950000000000003</v>
      </c>
      <c r="X133">
        <v>34.950000000000003</v>
      </c>
      <c r="Y133">
        <v>34.950000000000003</v>
      </c>
      <c r="Z133">
        <v>38</v>
      </c>
      <c r="AA133">
        <v>38</v>
      </c>
      <c r="AB133">
        <v>0</v>
      </c>
      <c r="AC133">
        <v>-0.01</v>
      </c>
      <c r="AD133">
        <v>-0.05</v>
      </c>
      <c r="AE133">
        <v>-0.03</v>
      </c>
      <c r="AF133">
        <v>90000000</v>
      </c>
      <c r="AG133">
        <v>97438252.719999999</v>
      </c>
      <c r="AH133">
        <v>12</v>
      </c>
      <c r="AO133">
        <v>90000000</v>
      </c>
      <c r="AP133">
        <v>97438252.719999999</v>
      </c>
      <c r="AQ133">
        <v>12</v>
      </c>
      <c r="AR133">
        <v>9965000000</v>
      </c>
      <c r="AS133">
        <v>10378695856.15</v>
      </c>
    </row>
    <row r="134" spans="1:45" x14ac:dyDescent="0.25">
      <c r="A134" t="s">
        <v>178</v>
      </c>
      <c r="B134" s="1">
        <v>46007</v>
      </c>
      <c r="C134" t="s">
        <v>383</v>
      </c>
      <c r="D134" s="1">
        <f>DATE(MID(C134,8,2)+100,MID(C134,6,2),MID(C134,4,2))</f>
        <v>46673</v>
      </c>
      <c r="E134" s="1">
        <v>46008</v>
      </c>
      <c r="G134" t="s">
        <v>382</v>
      </c>
      <c r="H134" t="s">
        <v>99</v>
      </c>
      <c r="I134">
        <v>665</v>
      </c>
      <c r="J134">
        <v>119</v>
      </c>
      <c r="K134">
        <v>6.36576923099999</v>
      </c>
      <c r="L134">
        <v>102</v>
      </c>
      <c r="M134">
        <v>101.999</v>
      </c>
      <c r="N134">
        <v>102.3</v>
      </c>
      <c r="O134">
        <v>102.15</v>
      </c>
      <c r="P134">
        <v>102.209</v>
      </c>
      <c r="Q134">
        <v>108.575</v>
      </c>
      <c r="R134" s="1">
        <v>46006</v>
      </c>
      <c r="S134">
        <v>101.97499999999999</v>
      </c>
      <c r="T134">
        <v>101.95</v>
      </c>
      <c r="U134">
        <v>34.950000000000003</v>
      </c>
      <c r="V134">
        <v>34.72</v>
      </c>
      <c r="W134">
        <v>34.950000000000003</v>
      </c>
      <c r="X134">
        <v>34.83</v>
      </c>
      <c r="Y134">
        <v>34.79</v>
      </c>
      <c r="Z134">
        <v>37.86</v>
      </c>
      <c r="AA134">
        <v>37.81</v>
      </c>
      <c r="AB134">
        <v>0.2</v>
      </c>
      <c r="AC134">
        <v>0.23</v>
      </c>
      <c r="AD134">
        <v>-0.5</v>
      </c>
      <c r="AE134">
        <v>-0.57999999999999996</v>
      </c>
      <c r="AF134">
        <v>1638000000</v>
      </c>
      <c r="AG134">
        <v>1778461049.96</v>
      </c>
      <c r="AH134">
        <v>57</v>
      </c>
      <c r="AI134">
        <v>300000000</v>
      </c>
      <c r="AJ134">
        <v>324947307.69</v>
      </c>
      <c r="AK134">
        <v>3</v>
      </c>
      <c r="AO134">
        <v>1938000000</v>
      </c>
      <c r="AP134">
        <v>2103408357.6500001</v>
      </c>
      <c r="AQ134">
        <v>60</v>
      </c>
      <c r="AR134">
        <v>18555000000</v>
      </c>
      <c r="AS134">
        <v>19365136386.07</v>
      </c>
    </row>
    <row r="135" spans="1:45" hidden="1" x14ac:dyDescent="0.25">
      <c r="A135" t="s">
        <v>260</v>
      </c>
      <c r="B135" s="1">
        <v>46007</v>
      </c>
      <c r="C135" t="s">
        <v>356</v>
      </c>
      <c r="E135" s="1">
        <v>46007</v>
      </c>
      <c r="F135" s="1">
        <v>46008</v>
      </c>
      <c r="G135" t="s">
        <v>354</v>
      </c>
      <c r="H135" t="s">
        <v>99</v>
      </c>
      <c r="I135">
        <v>1</v>
      </c>
      <c r="AI135">
        <v>800915240</v>
      </c>
      <c r="AJ135">
        <v>800000000</v>
      </c>
      <c r="AK135">
        <v>8</v>
      </c>
      <c r="AO135">
        <v>800915240</v>
      </c>
      <c r="AP135">
        <v>800000000</v>
      </c>
      <c r="AQ135">
        <v>8</v>
      </c>
    </row>
    <row r="136" spans="1:45" x14ac:dyDescent="0.25">
      <c r="A136" t="s">
        <v>178</v>
      </c>
      <c r="B136" s="1">
        <v>46007</v>
      </c>
      <c r="C136" t="s">
        <v>394</v>
      </c>
      <c r="D136" s="1">
        <f>DATE(MID(C136,8,2)+100,MID(C136,6,2),MID(C136,4,2))</f>
        <v>46953</v>
      </c>
      <c r="E136" s="1">
        <v>46007</v>
      </c>
      <c r="G136" t="s">
        <v>395</v>
      </c>
      <c r="H136" t="s">
        <v>99</v>
      </c>
      <c r="I136">
        <v>946</v>
      </c>
      <c r="J136">
        <v>36</v>
      </c>
      <c r="K136">
        <v>6.93901098899999</v>
      </c>
      <c r="L136">
        <v>74.7</v>
      </c>
      <c r="M136">
        <v>74.650000000000006</v>
      </c>
      <c r="N136">
        <v>74.7</v>
      </c>
      <c r="O136">
        <v>74.650000000000006</v>
      </c>
      <c r="P136">
        <v>74.688000000000002</v>
      </c>
      <c r="Q136">
        <v>81.626999999999995</v>
      </c>
      <c r="R136" s="1">
        <v>46003</v>
      </c>
      <c r="S136">
        <v>74.95</v>
      </c>
      <c r="T136">
        <v>74.95</v>
      </c>
      <c r="U136">
        <v>32.36</v>
      </c>
      <c r="V136">
        <v>32.36</v>
      </c>
      <c r="W136">
        <v>32.4</v>
      </c>
      <c r="X136">
        <v>32.4</v>
      </c>
      <c r="Y136">
        <v>32.369999999999997</v>
      </c>
      <c r="Z136">
        <v>35.020000000000003</v>
      </c>
      <c r="AA136">
        <v>34.99</v>
      </c>
      <c r="AB136">
        <v>-0.4</v>
      </c>
      <c r="AC136">
        <v>-0.35</v>
      </c>
      <c r="AD136">
        <v>0.92</v>
      </c>
      <c r="AE136">
        <v>0.84</v>
      </c>
      <c r="AF136">
        <v>4000000</v>
      </c>
      <c r="AG136">
        <v>3265060.44</v>
      </c>
      <c r="AH136">
        <v>2</v>
      </c>
      <c r="AO136">
        <v>4000000</v>
      </c>
      <c r="AP136">
        <v>3265060.44</v>
      </c>
      <c r="AQ136">
        <v>2</v>
      </c>
      <c r="AR136">
        <v>5732500000</v>
      </c>
      <c r="AS136">
        <v>4517741278.0600004</v>
      </c>
    </row>
    <row r="137" spans="1:45" hidden="1" x14ac:dyDescent="0.25">
      <c r="A137" t="s">
        <v>260</v>
      </c>
      <c r="B137" s="1">
        <v>46007</v>
      </c>
      <c r="C137" t="s">
        <v>358</v>
      </c>
      <c r="E137" s="1">
        <v>46007</v>
      </c>
      <c r="F137" s="1">
        <v>46008</v>
      </c>
      <c r="G137" t="s">
        <v>357</v>
      </c>
      <c r="H137" t="s">
        <v>99</v>
      </c>
      <c r="I137">
        <v>1</v>
      </c>
      <c r="AI137">
        <v>184142620</v>
      </c>
      <c r="AJ137">
        <v>200000000</v>
      </c>
      <c r="AK137">
        <v>2</v>
      </c>
      <c r="AO137">
        <v>184142620</v>
      </c>
      <c r="AP137">
        <v>200000000</v>
      </c>
      <c r="AQ137">
        <v>2</v>
      </c>
    </row>
    <row r="138" spans="1:45" x14ac:dyDescent="0.25">
      <c r="A138" t="s">
        <v>178</v>
      </c>
      <c r="B138" s="1">
        <v>46007</v>
      </c>
      <c r="C138" t="s">
        <v>396</v>
      </c>
      <c r="D138" s="1">
        <f>DATE(MID(C138,8,2)+100,MID(C138,6,2),MID(C138,4,2))</f>
        <v>46953</v>
      </c>
      <c r="E138" s="1">
        <v>46008</v>
      </c>
      <c r="G138" t="s">
        <v>395</v>
      </c>
      <c r="H138" t="s">
        <v>99</v>
      </c>
      <c r="I138">
        <v>945</v>
      </c>
      <c r="J138">
        <v>35</v>
      </c>
      <c r="K138">
        <v>6.9865384620000004</v>
      </c>
      <c r="L138">
        <v>74.650000000000006</v>
      </c>
      <c r="M138">
        <v>74.650000000000006</v>
      </c>
      <c r="N138">
        <v>74.95</v>
      </c>
      <c r="O138">
        <v>74.95</v>
      </c>
      <c r="P138">
        <v>74.718999999999994</v>
      </c>
      <c r="Q138">
        <v>81.706000000000003</v>
      </c>
      <c r="R138" s="1">
        <v>46006</v>
      </c>
      <c r="S138">
        <v>74.763000000000005</v>
      </c>
      <c r="T138">
        <v>74.75</v>
      </c>
      <c r="U138">
        <v>32.409999999999997</v>
      </c>
      <c r="V138">
        <v>32.19</v>
      </c>
      <c r="W138">
        <v>32.409999999999997</v>
      </c>
      <c r="X138">
        <v>32.19</v>
      </c>
      <c r="Y138">
        <v>32.36</v>
      </c>
      <c r="Z138">
        <v>34.78</v>
      </c>
      <c r="AA138">
        <v>34.979999999999997</v>
      </c>
      <c r="AB138">
        <v>0.27</v>
      </c>
      <c r="AC138">
        <v>-0.06</v>
      </c>
      <c r="AD138">
        <v>-0.43</v>
      </c>
      <c r="AE138">
        <v>0.17</v>
      </c>
      <c r="AF138">
        <v>154000000</v>
      </c>
      <c r="AG138">
        <v>125826269.22</v>
      </c>
      <c r="AH138">
        <v>7</v>
      </c>
      <c r="AO138">
        <v>154000000</v>
      </c>
      <c r="AP138">
        <v>125826269.22</v>
      </c>
      <c r="AQ138">
        <v>7</v>
      </c>
      <c r="AR138">
        <v>175499500000</v>
      </c>
      <c r="AS138">
        <v>135053350384.2</v>
      </c>
    </row>
    <row r="139" spans="1:45" x14ac:dyDescent="0.25">
      <c r="A139" t="s">
        <v>178</v>
      </c>
      <c r="B139" s="1">
        <v>46007</v>
      </c>
      <c r="C139" t="s">
        <v>345</v>
      </c>
      <c r="D139" s="1">
        <f>DATE(MID(C139,8,2)+100,MID(C139,6,2),MID(C139,4,2))</f>
        <v>47002</v>
      </c>
      <c r="E139" s="1">
        <v>46007</v>
      </c>
      <c r="G139" t="s">
        <v>346</v>
      </c>
      <c r="H139" t="s">
        <v>99</v>
      </c>
      <c r="I139">
        <v>995</v>
      </c>
      <c r="J139">
        <v>85</v>
      </c>
      <c r="K139">
        <v>0.63572925899999899</v>
      </c>
      <c r="L139">
        <v>99.7</v>
      </c>
      <c r="M139">
        <v>99.674999999999997</v>
      </c>
      <c r="N139">
        <v>99.7</v>
      </c>
      <c r="O139">
        <v>99.7</v>
      </c>
      <c r="P139">
        <v>99.7</v>
      </c>
      <c r="Q139">
        <v>100.336</v>
      </c>
      <c r="R139" s="1">
        <v>46006</v>
      </c>
      <c r="S139">
        <v>99.619</v>
      </c>
      <c r="T139">
        <v>99.65</v>
      </c>
      <c r="AB139">
        <v>0.05</v>
      </c>
      <c r="AC139">
        <v>0.08</v>
      </c>
      <c r="AF139">
        <v>210000000</v>
      </c>
      <c r="AG139">
        <v>210704781.44</v>
      </c>
      <c r="AH139">
        <v>5</v>
      </c>
      <c r="AO139">
        <v>210000000</v>
      </c>
      <c r="AP139">
        <v>210704781.44</v>
      </c>
      <c r="AQ139">
        <v>5</v>
      </c>
      <c r="AR139">
        <v>48435000000</v>
      </c>
      <c r="AS139">
        <v>49545623292.440002</v>
      </c>
    </row>
    <row r="140" spans="1:45" x14ac:dyDescent="0.25">
      <c r="A140" t="s">
        <v>178</v>
      </c>
      <c r="B140" s="1">
        <v>46007</v>
      </c>
      <c r="C140" t="s">
        <v>347</v>
      </c>
      <c r="D140" s="1">
        <f>DATE(MID(C140,8,2)+100,MID(C140,6,2),MID(C140,4,2))</f>
        <v>47002</v>
      </c>
      <c r="E140" s="1">
        <v>46008</v>
      </c>
      <c r="G140" t="s">
        <v>346</v>
      </c>
      <c r="H140" t="s">
        <v>99</v>
      </c>
      <c r="I140">
        <v>994</v>
      </c>
      <c r="J140">
        <v>84</v>
      </c>
      <c r="K140">
        <v>0.73979482500000004</v>
      </c>
      <c r="L140">
        <v>99.65</v>
      </c>
      <c r="M140">
        <v>99.65</v>
      </c>
      <c r="N140">
        <v>99.65</v>
      </c>
      <c r="O140">
        <v>99.65</v>
      </c>
      <c r="P140">
        <v>99.65</v>
      </c>
      <c r="Q140">
        <v>100.39</v>
      </c>
      <c r="R140" s="1">
        <v>46006</v>
      </c>
      <c r="S140">
        <v>99.65</v>
      </c>
      <c r="T140">
        <v>99.65</v>
      </c>
      <c r="AB140">
        <v>0</v>
      </c>
      <c r="AC140">
        <v>0</v>
      </c>
      <c r="AF140">
        <v>150000000</v>
      </c>
      <c r="AG140">
        <v>150584692.22</v>
      </c>
      <c r="AH140">
        <v>7</v>
      </c>
      <c r="AO140">
        <v>150000000</v>
      </c>
      <c r="AP140">
        <v>150584692.22</v>
      </c>
      <c r="AQ140">
        <v>7</v>
      </c>
      <c r="AR140">
        <v>45754000000</v>
      </c>
      <c r="AS140">
        <v>47459010822.010002</v>
      </c>
    </row>
    <row r="141" spans="1:45" hidden="1" x14ac:dyDescent="0.25">
      <c r="A141" t="s">
        <v>333</v>
      </c>
      <c r="B141" s="1">
        <v>46007</v>
      </c>
      <c r="C141" t="s">
        <v>363</v>
      </c>
      <c r="E141" s="1">
        <v>46008</v>
      </c>
      <c r="G141" t="s">
        <v>362</v>
      </c>
      <c r="H141" t="s">
        <v>99</v>
      </c>
      <c r="I141">
        <v>420</v>
      </c>
      <c r="J141">
        <v>56</v>
      </c>
      <c r="K141">
        <v>11.284615385</v>
      </c>
      <c r="L141">
        <v>97.15</v>
      </c>
      <c r="M141">
        <v>97.15</v>
      </c>
      <c r="N141">
        <v>97.15</v>
      </c>
      <c r="O141">
        <v>97.15</v>
      </c>
      <c r="P141">
        <v>97.15</v>
      </c>
      <c r="Q141">
        <v>108.435</v>
      </c>
      <c r="R141" s="1">
        <v>45992</v>
      </c>
      <c r="S141">
        <v>96.7</v>
      </c>
      <c r="T141">
        <v>96.7</v>
      </c>
      <c r="U141">
        <v>35.5</v>
      </c>
      <c r="V141">
        <v>35.5</v>
      </c>
      <c r="W141">
        <v>35.5</v>
      </c>
      <c r="X141">
        <v>35.5</v>
      </c>
      <c r="Y141">
        <v>35.5</v>
      </c>
      <c r="Z141">
        <v>38.65</v>
      </c>
      <c r="AA141">
        <v>38.65</v>
      </c>
      <c r="AB141">
        <v>0.47</v>
      </c>
      <c r="AC141">
        <v>0.47</v>
      </c>
      <c r="AD141">
        <v>-1.1499999999999999</v>
      </c>
      <c r="AE141">
        <v>-1.1499999999999999</v>
      </c>
      <c r="AF141">
        <v>400000</v>
      </c>
      <c r="AG141">
        <v>433738.46</v>
      </c>
      <c r="AH141">
        <v>1</v>
      </c>
      <c r="AO141">
        <v>400000</v>
      </c>
      <c r="AP141">
        <v>433738.46</v>
      </c>
      <c r="AQ141">
        <v>1</v>
      </c>
      <c r="AR141">
        <v>2210000</v>
      </c>
      <c r="AS141">
        <v>2320203.73</v>
      </c>
    </row>
    <row r="142" spans="1:45" x14ac:dyDescent="0.25">
      <c r="A142" t="s">
        <v>178</v>
      </c>
      <c r="B142" s="1">
        <v>46007</v>
      </c>
      <c r="C142" t="s">
        <v>359</v>
      </c>
      <c r="D142" s="1">
        <f>DATE(MID(C142,8,2)+100,MID(C142,6,2),MID(C142,4,2))</f>
        <v>47065</v>
      </c>
      <c r="E142" s="1">
        <v>46008</v>
      </c>
      <c r="G142" t="s">
        <v>360</v>
      </c>
      <c r="H142" t="s">
        <v>99</v>
      </c>
      <c r="I142">
        <v>1057</v>
      </c>
      <c r="J142">
        <v>147</v>
      </c>
      <c r="K142">
        <v>2.9884615380000001</v>
      </c>
      <c r="L142">
        <v>96.224999999999994</v>
      </c>
      <c r="M142">
        <v>96.224999999999994</v>
      </c>
      <c r="N142">
        <v>96.55</v>
      </c>
      <c r="O142">
        <v>96.474999999999994</v>
      </c>
      <c r="P142">
        <v>96.406999999999996</v>
      </c>
      <c r="Q142">
        <v>99.394999999999996</v>
      </c>
      <c r="R142" s="1">
        <v>46006</v>
      </c>
      <c r="S142">
        <v>96.197999999999993</v>
      </c>
      <c r="T142">
        <v>96.2</v>
      </c>
      <c r="U142">
        <v>33.1</v>
      </c>
      <c r="V142">
        <v>32.909999999999997</v>
      </c>
      <c r="W142">
        <v>33.1</v>
      </c>
      <c r="X142">
        <v>32.96</v>
      </c>
      <c r="Y142">
        <v>32.99</v>
      </c>
      <c r="Z142">
        <v>35.68</v>
      </c>
      <c r="AA142">
        <v>35.72</v>
      </c>
      <c r="AB142">
        <v>0.28999999999999998</v>
      </c>
      <c r="AC142">
        <v>0.22</v>
      </c>
      <c r="AD142">
        <v>-0.47</v>
      </c>
      <c r="AE142">
        <v>-0.39</v>
      </c>
      <c r="AF142">
        <v>1066000000</v>
      </c>
      <c r="AG142">
        <v>1059560000.08</v>
      </c>
      <c r="AH142">
        <v>52</v>
      </c>
      <c r="AI142">
        <v>2000000</v>
      </c>
      <c r="AJ142">
        <v>1988769.24</v>
      </c>
      <c r="AK142">
        <v>2</v>
      </c>
      <c r="AO142">
        <v>1068000000</v>
      </c>
      <c r="AP142">
        <v>1061548769.3200001</v>
      </c>
      <c r="AQ142">
        <v>54</v>
      </c>
      <c r="AR142">
        <v>528366500000</v>
      </c>
      <c r="AS142">
        <v>553810967953.44995</v>
      </c>
    </row>
    <row r="143" spans="1:45" x14ac:dyDescent="0.25">
      <c r="A143" t="s">
        <v>178</v>
      </c>
      <c r="B143" s="1">
        <v>46007</v>
      </c>
      <c r="C143" t="s">
        <v>348</v>
      </c>
      <c r="D143" s="1">
        <f>DATE(MID(C143,8,2)+100,MID(C143,6,2),MID(C143,4,2))</f>
        <v>47093</v>
      </c>
      <c r="E143" s="1">
        <v>46007</v>
      </c>
      <c r="G143" t="s">
        <v>349</v>
      </c>
      <c r="H143" t="s">
        <v>99</v>
      </c>
      <c r="I143">
        <v>1086</v>
      </c>
      <c r="J143">
        <v>85</v>
      </c>
      <c r="K143">
        <v>0.63572925899999899</v>
      </c>
      <c r="L143">
        <v>99.6</v>
      </c>
      <c r="M143">
        <v>99.6</v>
      </c>
      <c r="N143">
        <v>99.65</v>
      </c>
      <c r="O143">
        <v>99.65</v>
      </c>
      <c r="P143">
        <v>99.649000000000001</v>
      </c>
      <c r="Q143">
        <v>100.285</v>
      </c>
      <c r="R143" s="1">
        <v>46006</v>
      </c>
      <c r="S143">
        <v>99.65</v>
      </c>
      <c r="T143">
        <v>99.65</v>
      </c>
      <c r="AB143">
        <v>0</v>
      </c>
      <c r="AC143">
        <v>0</v>
      </c>
      <c r="AF143">
        <v>51000000</v>
      </c>
      <c r="AG143">
        <v>51145221.920000002</v>
      </c>
      <c r="AH143">
        <v>2</v>
      </c>
      <c r="AO143">
        <v>51000000</v>
      </c>
      <c r="AP143">
        <v>51145221.920000002</v>
      </c>
      <c r="AQ143">
        <v>2</v>
      </c>
      <c r="AR143">
        <v>88553000000</v>
      </c>
      <c r="AS143">
        <v>89339753658.020004</v>
      </c>
    </row>
    <row r="144" spans="1:45" x14ac:dyDescent="0.25">
      <c r="A144" t="s">
        <v>178</v>
      </c>
      <c r="B144" s="1">
        <v>46007</v>
      </c>
      <c r="C144" t="s">
        <v>350</v>
      </c>
      <c r="D144" s="1">
        <f>DATE(MID(C144,8,2)+100,MID(C144,6,2),MID(C144,4,2))</f>
        <v>47093</v>
      </c>
      <c r="E144" s="1">
        <v>46008</v>
      </c>
      <c r="G144" t="s">
        <v>349</v>
      </c>
      <c r="H144" t="s">
        <v>99</v>
      </c>
      <c r="I144">
        <v>1085</v>
      </c>
      <c r="J144">
        <v>84</v>
      </c>
      <c r="K144">
        <v>0.73979482500000004</v>
      </c>
      <c r="L144">
        <v>99.65</v>
      </c>
      <c r="M144">
        <v>99.65</v>
      </c>
      <c r="N144">
        <v>99.65</v>
      </c>
      <c r="O144">
        <v>99.65</v>
      </c>
      <c r="P144">
        <v>99.65</v>
      </c>
      <c r="Q144">
        <v>100.39</v>
      </c>
      <c r="R144" s="1">
        <v>46003</v>
      </c>
      <c r="S144">
        <v>99.6</v>
      </c>
      <c r="T144">
        <v>99.6</v>
      </c>
      <c r="AB144">
        <v>0.05</v>
      </c>
      <c r="AC144">
        <v>0.05</v>
      </c>
      <c r="AF144">
        <v>25000000</v>
      </c>
      <c r="AG144">
        <v>25097448.710000001</v>
      </c>
      <c r="AH144">
        <v>1</v>
      </c>
      <c r="AI144">
        <v>25000000</v>
      </c>
      <c r="AJ144">
        <v>25009948.710000001</v>
      </c>
      <c r="AK144">
        <v>1</v>
      </c>
      <c r="AO144">
        <v>50000000</v>
      </c>
      <c r="AP144">
        <v>50107397.420000002</v>
      </c>
      <c r="AQ144">
        <v>2</v>
      </c>
      <c r="AR144">
        <v>89054000000</v>
      </c>
      <c r="AS144">
        <v>90792790301.490005</v>
      </c>
    </row>
    <row r="145" spans="1:45" x14ac:dyDescent="0.25">
      <c r="A145" t="s">
        <v>178</v>
      </c>
      <c r="B145" s="1">
        <v>46007</v>
      </c>
      <c r="C145" t="s">
        <v>353</v>
      </c>
      <c r="D145" s="1">
        <f>DATE(MID(C145,8,2)+100,MID(C145,6,2),MID(C145,4,2))</f>
        <v>47184</v>
      </c>
      <c r="E145" s="1">
        <v>46007</v>
      </c>
      <c r="G145" t="s">
        <v>354</v>
      </c>
      <c r="H145" t="s">
        <v>99</v>
      </c>
      <c r="I145">
        <v>1177</v>
      </c>
      <c r="J145">
        <v>85</v>
      </c>
      <c r="K145">
        <v>0.63572925899999899</v>
      </c>
      <c r="L145">
        <v>99.5</v>
      </c>
      <c r="M145">
        <v>99.5</v>
      </c>
      <c r="N145">
        <v>99.5</v>
      </c>
      <c r="O145">
        <v>99.5</v>
      </c>
      <c r="P145">
        <v>99.5</v>
      </c>
      <c r="Q145">
        <v>100.136</v>
      </c>
      <c r="R145" s="1">
        <v>46006</v>
      </c>
      <c r="S145">
        <v>99.5</v>
      </c>
      <c r="T145">
        <v>99.5</v>
      </c>
      <c r="AB145">
        <v>0</v>
      </c>
      <c r="AC145">
        <v>0</v>
      </c>
      <c r="AF145">
        <v>50000000</v>
      </c>
      <c r="AG145">
        <v>50067864.630000003</v>
      </c>
      <c r="AH145">
        <v>1</v>
      </c>
      <c r="AO145">
        <v>50000000</v>
      </c>
      <c r="AP145">
        <v>50067864.630000003</v>
      </c>
      <c r="AQ145">
        <v>1</v>
      </c>
      <c r="AR145">
        <v>25023000000</v>
      </c>
      <c r="AS145">
        <v>25406974328.849998</v>
      </c>
    </row>
    <row r="146" spans="1:45" x14ac:dyDescent="0.25">
      <c r="A146" t="s">
        <v>178</v>
      </c>
      <c r="B146" s="1">
        <v>46007</v>
      </c>
      <c r="C146" t="s">
        <v>355</v>
      </c>
      <c r="D146" s="1">
        <f>DATE(MID(C146,8,2)+100,MID(C146,6,2),MID(C146,4,2))</f>
        <v>47184</v>
      </c>
      <c r="E146" s="1">
        <v>46008</v>
      </c>
      <c r="G146" t="s">
        <v>354</v>
      </c>
      <c r="H146" t="s">
        <v>99</v>
      </c>
      <c r="I146">
        <v>1176</v>
      </c>
      <c r="J146">
        <v>84</v>
      </c>
      <c r="K146">
        <v>0.73979482500000004</v>
      </c>
      <c r="L146">
        <v>99.5</v>
      </c>
      <c r="M146">
        <v>99.5</v>
      </c>
      <c r="N146">
        <v>99.5</v>
      </c>
      <c r="O146">
        <v>99.5</v>
      </c>
      <c r="P146">
        <v>99.5</v>
      </c>
      <c r="Q146">
        <v>100.24</v>
      </c>
      <c r="R146" s="1">
        <v>46002</v>
      </c>
      <c r="S146">
        <v>99.45</v>
      </c>
      <c r="T146">
        <v>99.45</v>
      </c>
      <c r="AB146">
        <v>0.05</v>
      </c>
      <c r="AC146">
        <v>0.05</v>
      </c>
      <c r="AF146">
        <v>152000000</v>
      </c>
      <c r="AG146">
        <v>152364488.13999999</v>
      </c>
      <c r="AH146">
        <v>9</v>
      </c>
      <c r="AI146">
        <v>300000000</v>
      </c>
      <c r="AJ146">
        <v>300644384.47000003</v>
      </c>
      <c r="AK146">
        <v>5</v>
      </c>
      <c r="AO146">
        <v>452000000</v>
      </c>
      <c r="AP146">
        <v>453008872.61000001</v>
      </c>
      <c r="AQ146">
        <v>14</v>
      </c>
      <c r="AR146">
        <v>33091000000</v>
      </c>
      <c r="AS146">
        <v>33732851041.029999</v>
      </c>
    </row>
    <row r="147" spans="1:45" hidden="1" x14ac:dyDescent="0.25">
      <c r="A147" t="s">
        <v>178</v>
      </c>
      <c r="B147" s="1">
        <v>46007</v>
      </c>
      <c r="C147" t="s">
        <v>374</v>
      </c>
      <c r="D147" s="1">
        <f>DATE(MID(C147,8,2)+100,MID(C147,6,2),MID(C147,4,2))</f>
        <v>47282</v>
      </c>
      <c r="E147" s="1">
        <v>46007</v>
      </c>
      <c r="G147" t="s">
        <v>375</v>
      </c>
      <c r="H147" t="s">
        <v>99</v>
      </c>
      <c r="I147">
        <v>1275</v>
      </c>
      <c r="J147">
        <v>1</v>
      </c>
      <c r="K147">
        <v>10.253924092</v>
      </c>
      <c r="AI147">
        <v>5000000</v>
      </c>
      <c r="AJ147">
        <v>5489696.2000000002</v>
      </c>
      <c r="AK147">
        <v>1</v>
      </c>
      <c r="AO147">
        <v>5000000</v>
      </c>
      <c r="AP147">
        <v>5489696.2000000002</v>
      </c>
      <c r="AQ147">
        <v>1</v>
      </c>
      <c r="AR147">
        <v>13606000000</v>
      </c>
      <c r="AS147">
        <v>13722437780.75</v>
      </c>
    </row>
    <row r="148" spans="1:45" x14ac:dyDescent="0.25">
      <c r="A148" t="s">
        <v>178</v>
      </c>
      <c r="B148" s="1">
        <v>46007</v>
      </c>
      <c r="C148" t="s">
        <v>327</v>
      </c>
      <c r="D148" s="1">
        <f>DATE(MID(C148,8,2)+100,MID(C148,6,2),MID(C148,4,2))</f>
        <v>47303</v>
      </c>
      <c r="E148" s="1">
        <v>46007</v>
      </c>
      <c r="G148" t="s">
        <v>328</v>
      </c>
      <c r="H148" t="s">
        <v>99</v>
      </c>
      <c r="I148">
        <v>1296</v>
      </c>
      <c r="J148">
        <v>22</v>
      </c>
      <c r="K148">
        <v>20.219780220000001</v>
      </c>
      <c r="L148">
        <v>99.4</v>
      </c>
      <c r="M148">
        <v>99.4</v>
      </c>
      <c r="N148">
        <v>99.4</v>
      </c>
      <c r="O148">
        <v>99.4</v>
      </c>
      <c r="P148">
        <v>99.4</v>
      </c>
      <c r="Q148">
        <v>119.62</v>
      </c>
      <c r="R148" s="1">
        <v>46006</v>
      </c>
      <c r="S148">
        <v>99.358999999999995</v>
      </c>
      <c r="T148">
        <v>99.3</v>
      </c>
      <c r="AB148">
        <v>0.1</v>
      </c>
      <c r="AC148">
        <v>0.04</v>
      </c>
      <c r="AF148">
        <v>2000000</v>
      </c>
      <c r="AG148">
        <v>2392395.6</v>
      </c>
      <c r="AH148">
        <v>1</v>
      </c>
      <c r="AI148">
        <v>854000000</v>
      </c>
      <c r="AJ148">
        <v>1021551623.08</v>
      </c>
      <c r="AK148">
        <v>20</v>
      </c>
      <c r="AO148">
        <v>856000000</v>
      </c>
      <c r="AP148">
        <v>1023944018.6799999</v>
      </c>
      <c r="AQ148">
        <v>21</v>
      </c>
      <c r="AR148">
        <v>25354000000</v>
      </c>
      <c r="AS148">
        <v>26750650264.779999</v>
      </c>
    </row>
    <row r="149" spans="1:45" x14ac:dyDescent="0.25">
      <c r="A149" t="s">
        <v>178</v>
      </c>
      <c r="B149" s="1">
        <v>46007</v>
      </c>
      <c r="C149" t="s">
        <v>329</v>
      </c>
      <c r="D149" s="1">
        <f>DATE(MID(C149,8,2)+100,MID(C149,6,2),MID(C149,4,2))</f>
        <v>47303</v>
      </c>
      <c r="E149" s="1">
        <v>46008</v>
      </c>
      <c r="G149" t="s">
        <v>328</v>
      </c>
      <c r="H149" t="s">
        <v>99</v>
      </c>
      <c r="I149">
        <v>1295</v>
      </c>
      <c r="J149">
        <v>21</v>
      </c>
      <c r="K149">
        <v>20.346153846</v>
      </c>
      <c r="L149">
        <v>99.4</v>
      </c>
      <c r="M149">
        <v>99.4</v>
      </c>
      <c r="N149">
        <v>99.4</v>
      </c>
      <c r="O149">
        <v>99.4</v>
      </c>
      <c r="P149">
        <v>99.4</v>
      </c>
      <c r="Q149">
        <v>119.746</v>
      </c>
      <c r="R149" s="1">
        <v>46006</v>
      </c>
      <c r="S149">
        <v>99.35</v>
      </c>
      <c r="T149">
        <v>99.35</v>
      </c>
      <c r="AB149">
        <v>0.05</v>
      </c>
      <c r="AC149">
        <v>0.05</v>
      </c>
      <c r="AF149">
        <v>199000000</v>
      </c>
      <c r="AG149">
        <v>238294846.15000001</v>
      </c>
      <c r="AH149">
        <v>6</v>
      </c>
      <c r="AO149">
        <v>199000000</v>
      </c>
      <c r="AP149">
        <v>238294846.15000001</v>
      </c>
      <c r="AQ149">
        <v>6</v>
      </c>
      <c r="AR149">
        <v>36022000000</v>
      </c>
      <c r="AS149">
        <v>37982745611.220001</v>
      </c>
    </row>
    <row r="150" spans="1:45" x14ac:dyDescent="0.25">
      <c r="A150" t="s">
        <v>178</v>
      </c>
      <c r="B150" s="1">
        <v>46007</v>
      </c>
      <c r="C150" t="s">
        <v>371</v>
      </c>
      <c r="D150" s="1">
        <f>DATE(MID(C150,8,2)+100,MID(C150,6,2),MID(C150,4,2))</f>
        <v>47373</v>
      </c>
      <c r="E150" s="1">
        <v>46007</v>
      </c>
      <c r="G150" t="s">
        <v>372</v>
      </c>
      <c r="H150" t="s">
        <v>99</v>
      </c>
      <c r="I150">
        <v>1366</v>
      </c>
      <c r="J150">
        <v>92</v>
      </c>
      <c r="K150">
        <v>7.4175824180000003</v>
      </c>
      <c r="L150">
        <v>94.15</v>
      </c>
      <c r="M150">
        <v>94.15</v>
      </c>
      <c r="N150">
        <v>94.25</v>
      </c>
      <c r="O150">
        <v>94.25</v>
      </c>
      <c r="P150">
        <v>94.17</v>
      </c>
      <c r="Q150">
        <v>101.58799999999999</v>
      </c>
      <c r="R150" s="1">
        <v>46006</v>
      </c>
      <c r="S150">
        <v>94.4</v>
      </c>
      <c r="T150">
        <v>94.4</v>
      </c>
      <c r="U150">
        <v>32.68</v>
      </c>
      <c r="V150">
        <v>32.630000000000003</v>
      </c>
      <c r="W150">
        <v>32.68</v>
      </c>
      <c r="X150">
        <v>32.630000000000003</v>
      </c>
      <c r="Y150">
        <v>32.67</v>
      </c>
      <c r="Z150">
        <v>35.29</v>
      </c>
      <c r="AA150">
        <v>35.340000000000003</v>
      </c>
      <c r="AB150">
        <v>-0.16</v>
      </c>
      <c r="AC150">
        <v>-0.24</v>
      </c>
      <c r="AD150">
        <v>0.26</v>
      </c>
      <c r="AE150">
        <v>0.4</v>
      </c>
      <c r="AF150">
        <v>327000000</v>
      </c>
      <c r="AG150">
        <v>332191244.5</v>
      </c>
      <c r="AH150">
        <v>9</v>
      </c>
      <c r="AI150">
        <v>7000000</v>
      </c>
      <c r="AJ150">
        <v>7116730.7699999996</v>
      </c>
      <c r="AK150">
        <v>1</v>
      </c>
      <c r="AO150">
        <v>334000000</v>
      </c>
      <c r="AP150">
        <v>339307975.26999998</v>
      </c>
      <c r="AQ150">
        <v>10</v>
      </c>
      <c r="AR150">
        <v>34823000000</v>
      </c>
      <c r="AS150">
        <v>35294325031.169998</v>
      </c>
    </row>
    <row r="151" spans="1:45" x14ac:dyDescent="0.25">
      <c r="A151" t="s">
        <v>178</v>
      </c>
      <c r="B151" s="1">
        <v>46007</v>
      </c>
      <c r="C151" t="s">
        <v>373</v>
      </c>
      <c r="D151" s="1">
        <f>DATE(MID(C151,8,2)+100,MID(C151,6,2),MID(C151,4,2))</f>
        <v>47373</v>
      </c>
      <c r="E151" s="1">
        <v>46008</v>
      </c>
      <c r="G151" t="s">
        <v>372</v>
      </c>
      <c r="H151" t="s">
        <v>99</v>
      </c>
      <c r="I151">
        <v>1365</v>
      </c>
      <c r="J151">
        <v>91</v>
      </c>
      <c r="K151">
        <v>7.5</v>
      </c>
      <c r="L151">
        <v>94.167000000000002</v>
      </c>
      <c r="M151">
        <v>94.167000000000002</v>
      </c>
      <c r="N151">
        <v>94.454999999999998</v>
      </c>
      <c r="O151">
        <v>94.375</v>
      </c>
      <c r="P151">
        <v>94.25</v>
      </c>
      <c r="Q151">
        <v>101.75</v>
      </c>
      <c r="R151" s="1">
        <v>46006</v>
      </c>
      <c r="S151">
        <v>94.153999999999996</v>
      </c>
      <c r="T151">
        <v>94.125</v>
      </c>
      <c r="U151">
        <v>32.67</v>
      </c>
      <c r="V151">
        <v>32.53</v>
      </c>
      <c r="W151">
        <v>32.67</v>
      </c>
      <c r="X151">
        <v>32.57</v>
      </c>
      <c r="Y151">
        <v>32.630000000000003</v>
      </c>
      <c r="Z151">
        <v>35.22</v>
      </c>
      <c r="AA151">
        <v>35.299999999999997</v>
      </c>
      <c r="AB151">
        <v>0.27</v>
      </c>
      <c r="AC151">
        <v>0.1</v>
      </c>
      <c r="AD151">
        <v>-0.4</v>
      </c>
      <c r="AE151">
        <v>-0.11</v>
      </c>
      <c r="AF151">
        <v>1205000000</v>
      </c>
      <c r="AG151">
        <v>1226091500</v>
      </c>
      <c r="AH151">
        <v>52</v>
      </c>
      <c r="AO151">
        <v>1205000000</v>
      </c>
      <c r="AP151">
        <v>1226091500</v>
      </c>
      <c r="AQ151">
        <v>52</v>
      </c>
      <c r="AR151">
        <v>548333000000</v>
      </c>
      <c r="AS151">
        <v>546700655841.84998</v>
      </c>
    </row>
    <row r="152" spans="1:45" hidden="1" x14ac:dyDescent="0.25">
      <c r="A152" t="s">
        <v>178</v>
      </c>
      <c r="B152" s="1">
        <v>46007</v>
      </c>
      <c r="C152" t="s">
        <v>337</v>
      </c>
      <c r="D152" s="1">
        <f>DATE(MID(C152,8,2)+100,MID(C152,6,2),MID(C152,4,2))</f>
        <v>47639</v>
      </c>
      <c r="E152" s="1">
        <v>46007</v>
      </c>
      <c r="G152" t="s">
        <v>338</v>
      </c>
      <c r="H152" t="s">
        <v>99</v>
      </c>
      <c r="I152">
        <v>1632</v>
      </c>
      <c r="J152">
        <v>176</v>
      </c>
      <c r="K152">
        <v>0.613186813</v>
      </c>
      <c r="AI152">
        <v>250000000</v>
      </c>
      <c r="AJ152">
        <v>235210467.05000001</v>
      </c>
      <c r="AK152">
        <v>5</v>
      </c>
      <c r="AO152">
        <v>250000000</v>
      </c>
      <c r="AP152">
        <v>235210467.05000001</v>
      </c>
      <c r="AQ152">
        <v>5</v>
      </c>
      <c r="AR152">
        <v>7355000000</v>
      </c>
      <c r="AS152">
        <v>7144362699.71</v>
      </c>
    </row>
    <row r="153" spans="1:45" x14ac:dyDescent="0.25">
      <c r="A153" t="s">
        <v>178</v>
      </c>
      <c r="B153" s="1">
        <v>46007</v>
      </c>
      <c r="C153" t="s">
        <v>339</v>
      </c>
      <c r="D153" s="1">
        <f>DATE(MID(C153,8,2)+100,MID(C153,6,2),MID(C153,4,2))</f>
        <v>47639</v>
      </c>
      <c r="E153" s="1">
        <v>46008</v>
      </c>
      <c r="G153" t="s">
        <v>338</v>
      </c>
      <c r="H153" t="s">
        <v>99</v>
      </c>
      <c r="I153">
        <v>1631</v>
      </c>
      <c r="J153">
        <v>175</v>
      </c>
      <c r="K153">
        <v>0.71538461499999895</v>
      </c>
      <c r="L153">
        <v>93.7</v>
      </c>
      <c r="M153">
        <v>93.7</v>
      </c>
      <c r="N153">
        <v>93.8</v>
      </c>
      <c r="O153">
        <v>93.8</v>
      </c>
      <c r="P153">
        <v>93.722999999999999</v>
      </c>
      <c r="Q153">
        <v>94.438000000000002</v>
      </c>
      <c r="R153" s="1">
        <v>46006</v>
      </c>
      <c r="S153">
        <v>93.417000000000002</v>
      </c>
      <c r="T153">
        <v>93.5</v>
      </c>
      <c r="AB153">
        <v>0.32</v>
      </c>
      <c r="AC153">
        <v>0.33</v>
      </c>
      <c r="AF153">
        <v>160000000</v>
      </c>
      <c r="AG153">
        <v>151102115.36000001</v>
      </c>
      <c r="AH153">
        <v>8</v>
      </c>
      <c r="AO153">
        <v>160000000</v>
      </c>
      <c r="AP153">
        <v>151102115.36000001</v>
      </c>
      <c r="AQ153">
        <v>8</v>
      </c>
      <c r="AR153">
        <v>33688500000</v>
      </c>
      <c r="AS153">
        <v>32392961027.439999</v>
      </c>
    </row>
    <row r="154" spans="1:45" x14ac:dyDescent="0.25">
      <c r="A154" t="s">
        <v>178</v>
      </c>
      <c r="B154" s="1">
        <v>46007</v>
      </c>
      <c r="C154" t="s">
        <v>364</v>
      </c>
      <c r="D154" s="1">
        <f>DATE(MID(C154,8,2)+100,MID(C154,6,2),MID(C154,4,2))</f>
        <v>47674</v>
      </c>
      <c r="E154" s="1">
        <v>46007</v>
      </c>
      <c r="G154" t="s">
        <v>365</v>
      </c>
      <c r="H154" t="s">
        <v>99</v>
      </c>
      <c r="I154">
        <v>1667</v>
      </c>
      <c r="J154">
        <v>29</v>
      </c>
      <c r="K154">
        <v>14.333241758</v>
      </c>
      <c r="L154">
        <v>103.97499999999999</v>
      </c>
      <c r="M154">
        <v>103.97499999999999</v>
      </c>
      <c r="N154">
        <v>103.97499999999999</v>
      </c>
      <c r="O154">
        <v>103.97499999999999</v>
      </c>
      <c r="P154">
        <v>103.97499999999999</v>
      </c>
      <c r="Q154">
        <v>118.30800000000001</v>
      </c>
      <c r="R154" s="1">
        <v>46000</v>
      </c>
      <c r="S154">
        <v>104.337</v>
      </c>
      <c r="T154">
        <v>104.45</v>
      </c>
      <c r="U154">
        <v>32.299999999999997</v>
      </c>
      <c r="V154">
        <v>32.299999999999997</v>
      </c>
      <c r="W154">
        <v>32.299999999999997</v>
      </c>
      <c r="X154">
        <v>32.299999999999997</v>
      </c>
      <c r="Y154">
        <v>32.299999999999997</v>
      </c>
      <c r="Z154">
        <v>34.909999999999997</v>
      </c>
      <c r="AA154">
        <v>34.909999999999997</v>
      </c>
      <c r="AB154">
        <v>-0.45</v>
      </c>
      <c r="AC154">
        <v>-0.35</v>
      </c>
      <c r="AD154">
        <v>0.66</v>
      </c>
      <c r="AE154">
        <v>0.52</v>
      </c>
      <c r="AF154">
        <v>20000000</v>
      </c>
      <c r="AG154">
        <v>23661648.350000001</v>
      </c>
      <c r="AH154">
        <v>1</v>
      </c>
      <c r="AO154">
        <v>20000000</v>
      </c>
      <c r="AP154">
        <v>23661648.350000001</v>
      </c>
      <c r="AQ154">
        <v>1</v>
      </c>
      <c r="AR154">
        <v>11170000000</v>
      </c>
      <c r="AS154">
        <v>11851360151.530001</v>
      </c>
    </row>
    <row r="155" spans="1:45" x14ac:dyDescent="0.25">
      <c r="A155" t="s">
        <v>178</v>
      </c>
      <c r="B155" s="1">
        <v>46007</v>
      </c>
      <c r="C155" t="s">
        <v>366</v>
      </c>
      <c r="D155" s="1">
        <f>DATE(MID(C155,8,2)+100,MID(C155,6,2),MID(C155,4,2))</f>
        <v>47674</v>
      </c>
      <c r="E155" s="1">
        <v>46008</v>
      </c>
      <c r="G155" t="s">
        <v>365</v>
      </c>
      <c r="H155" t="s">
        <v>99</v>
      </c>
      <c r="I155">
        <v>1666</v>
      </c>
      <c r="J155">
        <v>28</v>
      </c>
      <c r="K155">
        <v>14.426923077</v>
      </c>
      <c r="L155">
        <v>103.85</v>
      </c>
      <c r="M155">
        <v>103.85</v>
      </c>
      <c r="N155">
        <v>104.2</v>
      </c>
      <c r="O155">
        <v>104.2</v>
      </c>
      <c r="P155">
        <v>104.10599999999999</v>
      </c>
      <c r="Q155">
        <v>118.533</v>
      </c>
      <c r="R155" s="1">
        <v>46006</v>
      </c>
      <c r="S155">
        <v>104.102</v>
      </c>
      <c r="T155">
        <v>104</v>
      </c>
      <c r="U155">
        <v>32.36</v>
      </c>
      <c r="V155">
        <v>32.21</v>
      </c>
      <c r="W155">
        <v>32.36</v>
      </c>
      <c r="X155">
        <v>32.21</v>
      </c>
      <c r="Y155">
        <v>32.25</v>
      </c>
      <c r="Z155">
        <v>34.799999999999997</v>
      </c>
      <c r="AA155">
        <v>34.85</v>
      </c>
      <c r="AB155">
        <v>0.19</v>
      </c>
      <c r="AC155">
        <v>0</v>
      </c>
      <c r="AD155">
        <v>-0.28999999999999998</v>
      </c>
      <c r="AE155">
        <v>0</v>
      </c>
      <c r="AF155">
        <v>92000000</v>
      </c>
      <c r="AG155">
        <v>109050269.22</v>
      </c>
      <c r="AH155">
        <v>16</v>
      </c>
      <c r="AI155">
        <v>4000000</v>
      </c>
      <c r="AJ155">
        <v>4734076.92</v>
      </c>
      <c r="AK155">
        <v>2</v>
      </c>
      <c r="AO155">
        <v>96000000</v>
      </c>
      <c r="AP155">
        <v>113784346.14</v>
      </c>
      <c r="AQ155">
        <v>18</v>
      </c>
      <c r="AR155">
        <v>72003000000</v>
      </c>
      <c r="AS155">
        <v>77093861144.979996</v>
      </c>
    </row>
    <row r="156" spans="1:45" x14ac:dyDescent="0.25">
      <c r="A156" t="s">
        <v>178</v>
      </c>
      <c r="B156" s="1">
        <v>46007</v>
      </c>
      <c r="C156" t="s">
        <v>322</v>
      </c>
      <c r="D156" s="1">
        <f>DATE(MID(C156,8,2)+100,MID(C156,6,2),MID(C156,4,2))</f>
        <v>47758</v>
      </c>
      <c r="E156" s="1">
        <v>46007</v>
      </c>
      <c r="G156" t="s">
        <v>323</v>
      </c>
      <c r="H156" t="s">
        <v>99</v>
      </c>
      <c r="I156">
        <v>1751</v>
      </c>
      <c r="J156">
        <v>113</v>
      </c>
      <c r="K156">
        <v>6.4260989009999898</v>
      </c>
      <c r="L156">
        <v>103.7</v>
      </c>
      <c r="M156">
        <v>103.7</v>
      </c>
      <c r="N156">
        <v>103.9</v>
      </c>
      <c r="O156">
        <v>103.9</v>
      </c>
      <c r="P156">
        <v>103.85599999999999</v>
      </c>
      <c r="Q156">
        <v>110.282</v>
      </c>
      <c r="R156" s="1">
        <v>46006</v>
      </c>
      <c r="S156">
        <v>104.248</v>
      </c>
      <c r="T156">
        <v>104.2</v>
      </c>
      <c r="U156">
        <v>32.21</v>
      </c>
      <c r="V156">
        <v>32.130000000000003</v>
      </c>
      <c r="W156">
        <v>32.21</v>
      </c>
      <c r="X156">
        <v>32.130000000000003</v>
      </c>
      <c r="Y156">
        <v>32.15</v>
      </c>
      <c r="Z156">
        <v>34.71</v>
      </c>
      <c r="AA156">
        <v>34.729999999999997</v>
      </c>
      <c r="AB156">
        <v>-0.28999999999999998</v>
      </c>
      <c r="AC156">
        <v>-0.38</v>
      </c>
      <c r="AD156">
        <v>0.4</v>
      </c>
      <c r="AE156">
        <v>0.52</v>
      </c>
      <c r="AF156">
        <v>116000000</v>
      </c>
      <c r="AG156">
        <v>127927774.73</v>
      </c>
      <c r="AH156">
        <v>8</v>
      </c>
      <c r="AI156">
        <v>3000000</v>
      </c>
      <c r="AJ156">
        <v>3308842.97</v>
      </c>
      <c r="AK156">
        <v>3</v>
      </c>
      <c r="AO156">
        <v>119000000</v>
      </c>
      <c r="AP156">
        <v>131236617.7</v>
      </c>
      <c r="AQ156">
        <v>11</v>
      </c>
      <c r="AR156">
        <v>3696000000</v>
      </c>
      <c r="AS156">
        <v>3774845841.1999998</v>
      </c>
    </row>
    <row r="157" spans="1:45" x14ac:dyDescent="0.25">
      <c r="A157" t="s">
        <v>178</v>
      </c>
      <c r="B157" s="1">
        <v>46007</v>
      </c>
      <c r="C157" t="s">
        <v>324</v>
      </c>
      <c r="D157" s="1">
        <f>DATE(MID(C157,8,2)+100,MID(C157,6,2),MID(C157,4,2))</f>
        <v>47758</v>
      </c>
      <c r="E157" s="1">
        <v>46008</v>
      </c>
      <c r="G157" t="s">
        <v>323</v>
      </c>
      <c r="H157" t="s">
        <v>99</v>
      </c>
      <c r="I157">
        <v>1750</v>
      </c>
      <c r="J157">
        <v>112</v>
      </c>
      <c r="K157">
        <v>6.519230769</v>
      </c>
      <c r="L157">
        <v>103.6</v>
      </c>
      <c r="M157">
        <v>103.6</v>
      </c>
      <c r="N157">
        <v>104.1</v>
      </c>
      <c r="O157">
        <v>104.05</v>
      </c>
      <c r="P157">
        <v>103.845</v>
      </c>
      <c r="Q157">
        <v>110.364</v>
      </c>
      <c r="R157" s="1">
        <v>46006</v>
      </c>
      <c r="S157">
        <v>104.008</v>
      </c>
      <c r="T157">
        <v>103.75</v>
      </c>
      <c r="U157">
        <v>32.25</v>
      </c>
      <c r="V157">
        <v>32.049999999999997</v>
      </c>
      <c r="W157">
        <v>32.25</v>
      </c>
      <c r="X157">
        <v>32.07</v>
      </c>
      <c r="Y157">
        <v>32.15</v>
      </c>
      <c r="Z157">
        <v>34.64</v>
      </c>
      <c r="AA157">
        <v>34.74</v>
      </c>
      <c r="AB157">
        <v>0.28999999999999998</v>
      </c>
      <c r="AC157">
        <v>-0.16</v>
      </c>
      <c r="AD157">
        <v>-0.4</v>
      </c>
      <c r="AE157">
        <v>0.23</v>
      </c>
      <c r="AF157">
        <v>1116000000</v>
      </c>
      <c r="AG157">
        <v>1231665115.3699999</v>
      </c>
      <c r="AH157">
        <v>61</v>
      </c>
      <c r="AI157">
        <v>2000000</v>
      </c>
      <c r="AJ157">
        <v>2207384.62</v>
      </c>
      <c r="AK157">
        <v>2</v>
      </c>
      <c r="AO157">
        <v>1118000000</v>
      </c>
      <c r="AP157">
        <v>1233872499.99</v>
      </c>
      <c r="AQ157">
        <v>63</v>
      </c>
      <c r="AR157">
        <v>18898000000</v>
      </c>
      <c r="AS157">
        <v>19737581457.720001</v>
      </c>
    </row>
    <row r="158" spans="1:45" hidden="1" x14ac:dyDescent="0.25">
      <c r="A158" t="s">
        <v>178</v>
      </c>
      <c r="B158" s="1">
        <v>46007</v>
      </c>
      <c r="C158" t="s">
        <v>389</v>
      </c>
      <c r="D158" s="1">
        <f>DATE(MID(C158,8,2)+100,MID(C158,6,2),MID(C158,4,2))</f>
        <v>47954</v>
      </c>
      <c r="E158" s="1">
        <v>46007</v>
      </c>
      <c r="G158" t="s">
        <v>390</v>
      </c>
      <c r="H158" t="s">
        <v>99</v>
      </c>
      <c r="I158">
        <v>1947</v>
      </c>
      <c r="J158">
        <v>127</v>
      </c>
      <c r="K158">
        <v>5.6148351649999899</v>
      </c>
      <c r="AI158">
        <v>210000000</v>
      </c>
      <c r="AJ158">
        <v>206330953.86000001</v>
      </c>
      <c r="AK158">
        <v>5</v>
      </c>
      <c r="AO158">
        <v>210000000</v>
      </c>
      <c r="AP158">
        <v>206330953.86000001</v>
      </c>
      <c r="AQ158">
        <v>5</v>
      </c>
      <c r="AR158">
        <v>3521500000</v>
      </c>
      <c r="AS158">
        <v>3371686084.5500002</v>
      </c>
    </row>
    <row r="159" spans="1:45" x14ac:dyDescent="0.25">
      <c r="A159" t="s">
        <v>178</v>
      </c>
      <c r="B159" s="1">
        <v>46007</v>
      </c>
      <c r="C159" t="s">
        <v>391</v>
      </c>
      <c r="D159" s="1">
        <f>DATE(MID(C159,8,2)+100,MID(C159,6,2),MID(C159,4,2))</f>
        <v>47954</v>
      </c>
      <c r="E159" s="1">
        <v>46008</v>
      </c>
      <c r="G159" t="s">
        <v>390</v>
      </c>
      <c r="H159" t="s">
        <v>99</v>
      </c>
      <c r="I159">
        <v>1946</v>
      </c>
      <c r="J159">
        <v>126</v>
      </c>
      <c r="K159">
        <v>5.7169230769999899</v>
      </c>
      <c r="L159">
        <v>92.7</v>
      </c>
      <c r="M159">
        <v>92.7</v>
      </c>
      <c r="N159">
        <v>92.8</v>
      </c>
      <c r="O159">
        <v>92.8</v>
      </c>
      <c r="P159">
        <v>92.796000000000006</v>
      </c>
      <c r="Q159">
        <v>98.513000000000005</v>
      </c>
      <c r="R159" s="1">
        <v>46006</v>
      </c>
      <c r="S159">
        <v>92.605999999999995</v>
      </c>
      <c r="T159">
        <v>92.674999999999997</v>
      </c>
      <c r="AB159">
        <v>0.13</v>
      </c>
      <c r="AC159">
        <v>0.21</v>
      </c>
      <c r="AF159">
        <v>131000000</v>
      </c>
      <c r="AG159">
        <v>129052169.23</v>
      </c>
      <c r="AH159">
        <v>8</v>
      </c>
      <c r="AO159">
        <v>131000000</v>
      </c>
      <c r="AP159">
        <v>129052169.23</v>
      </c>
      <c r="AQ159">
        <v>8</v>
      </c>
      <c r="AR159">
        <v>14507000000</v>
      </c>
      <c r="AS159">
        <v>14115051339.120001</v>
      </c>
    </row>
    <row r="160" spans="1:45" x14ac:dyDescent="0.25">
      <c r="A160" t="s">
        <v>178</v>
      </c>
      <c r="B160" s="1">
        <v>46007</v>
      </c>
      <c r="C160" t="s">
        <v>376</v>
      </c>
      <c r="D160" s="1">
        <f>DATE(MID(C160,8,2)+100,MID(C160,6,2),MID(C160,4,2))</f>
        <v>48773</v>
      </c>
      <c r="E160" s="1">
        <v>46007</v>
      </c>
      <c r="G160" t="s">
        <v>377</v>
      </c>
      <c r="H160" t="s">
        <v>99</v>
      </c>
      <c r="I160">
        <v>2766</v>
      </c>
      <c r="J160">
        <v>36</v>
      </c>
      <c r="K160">
        <v>7.1395604400000003</v>
      </c>
      <c r="L160">
        <v>66.5</v>
      </c>
      <c r="M160">
        <v>66.5</v>
      </c>
      <c r="N160">
        <v>66.5</v>
      </c>
      <c r="O160">
        <v>66.5</v>
      </c>
      <c r="P160">
        <v>66.5</v>
      </c>
      <c r="Q160">
        <v>73.64</v>
      </c>
      <c r="R160" s="1">
        <v>46006</v>
      </c>
      <c r="S160">
        <v>66.75</v>
      </c>
      <c r="T160">
        <v>66.75</v>
      </c>
      <c r="U160">
        <v>28.87</v>
      </c>
      <c r="V160">
        <v>28.87</v>
      </c>
      <c r="W160">
        <v>28.87</v>
      </c>
      <c r="X160">
        <v>28.87</v>
      </c>
      <c r="Y160">
        <v>28.87</v>
      </c>
      <c r="Z160">
        <v>30.95</v>
      </c>
      <c r="AA160">
        <v>30.95</v>
      </c>
      <c r="AB160">
        <v>-0.37</v>
      </c>
      <c r="AC160">
        <v>-0.37</v>
      </c>
      <c r="AD160">
        <v>0.42</v>
      </c>
      <c r="AE160">
        <v>0.42</v>
      </c>
      <c r="AF160">
        <v>5000000</v>
      </c>
      <c r="AG160">
        <v>3681978.02</v>
      </c>
      <c r="AH160">
        <v>1</v>
      </c>
      <c r="AO160">
        <v>5000000</v>
      </c>
      <c r="AP160">
        <v>3681978.02</v>
      </c>
      <c r="AQ160">
        <v>1</v>
      </c>
      <c r="AR160">
        <v>7222500000</v>
      </c>
      <c r="AS160">
        <v>5619131560.3100004</v>
      </c>
    </row>
    <row r="161" spans="1:45" x14ac:dyDescent="0.25">
      <c r="A161" t="s">
        <v>178</v>
      </c>
      <c r="B161" s="1">
        <v>46007</v>
      </c>
      <c r="C161" t="s">
        <v>378</v>
      </c>
      <c r="D161" s="1">
        <f>DATE(MID(C161,8,2)+100,MID(C161,6,2),MID(C161,4,2))</f>
        <v>48773</v>
      </c>
      <c r="E161" s="1">
        <v>46008</v>
      </c>
      <c r="G161" t="s">
        <v>377</v>
      </c>
      <c r="H161" t="s">
        <v>99</v>
      </c>
      <c r="I161">
        <v>2765</v>
      </c>
      <c r="J161">
        <v>35</v>
      </c>
      <c r="K161">
        <v>7.1884615380000003</v>
      </c>
      <c r="L161">
        <v>66.55</v>
      </c>
      <c r="M161">
        <v>66.55</v>
      </c>
      <c r="N161">
        <v>66.55</v>
      </c>
      <c r="O161">
        <v>66.55</v>
      </c>
      <c r="P161">
        <v>66.55</v>
      </c>
      <c r="Q161">
        <v>73.738</v>
      </c>
      <c r="R161" s="1">
        <v>46003</v>
      </c>
      <c r="S161">
        <v>66.646000000000001</v>
      </c>
      <c r="T161">
        <v>66.599999999999994</v>
      </c>
      <c r="U161">
        <v>28.85</v>
      </c>
      <c r="V161">
        <v>28.85</v>
      </c>
      <c r="W161">
        <v>28.85</v>
      </c>
      <c r="X161">
        <v>28.85</v>
      </c>
      <c r="Y161">
        <v>28.85</v>
      </c>
      <c r="Z161">
        <v>30.93</v>
      </c>
      <c r="AA161">
        <v>30.93</v>
      </c>
      <c r="AB161">
        <v>-0.08</v>
      </c>
      <c r="AC161">
        <v>-0.14000000000000001</v>
      </c>
      <c r="AD161">
        <v>0.1</v>
      </c>
      <c r="AE161">
        <v>0.16</v>
      </c>
      <c r="AF161">
        <v>45000000</v>
      </c>
      <c r="AG161">
        <v>33182307.699999999</v>
      </c>
      <c r="AH161">
        <v>4</v>
      </c>
      <c r="AO161">
        <v>45000000</v>
      </c>
      <c r="AP161">
        <v>33182307.699999999</v>
      </c>
      <c r="AQ161">
        <v>4</v>
      </c>
      <c r="AR161">
        <v>118828500000</v>
      </c>
      <c r="AS161">
        <v>91669410771.300003</v>
      </c>
    </row>
    <row r="162" spans="1:45" x14ac:dyDescent="0.25">
      <c r="A162" t="s">
        <v>178</v>
      </c>
      <c r="B162" s="1">
        <v>46007</v>
      </c>
      <c r="C162" t="s">
        <v>343</v>
      </c>
      <c r="D162" s="1">
        <f>DATE(MID(C162,8,2)+100,MID(C162,6,2),MID(C162,4,2))</f>
        <v>48857</v>
      </c>
      <c r="E162" s="1">
        <v>46008</v>
      </c>
      <c r="G162" t="s">
        <v>344</v>
      </c>
      <c r="H162" t="s">
        <v>99</v>
      </c>
      <c r="I162">
        <v>2849</v>
      </c>
      <c r="J162">
        <v>119</v>
      </c>
      <c r="K162">
        <v>4.5346153850000004</v>
      </c>
      <c r="L162">
        <v>91.8</v>
      </c>
      <c r="M162">
        <v>91.8</v>
      </c>
      <c r="N162">
        <v>92.4</v>
      </c>
      <c r="O162">
        <v>92.2</v>
      </c>
      <c r="P162">
        <v>92.11</v>
      </c>
      <c r="Q162">
        <v>96.644999999999996</v>
      </c>
      <c r="R162" s="1">
        <v>46006</v>
      </c>
      <c r="S162">
        <v>92.097999999999999</v>
      </c>
      <c r="T162">
        <v>91.8</v>
      </c>
      <c r="U162">
        <v>28.83</v>
      </c>
      <c r="V162">
        <v>28.62</v>
      </c>
      <c r="W162">
        <v>28.83</v>
      </c>
      <c r="X162">
        <v>28.69</v>
      </c>
      <c r="Y162">
        <v>28.72</v>
      </c>
      <c r="Z162">
        <v>30.75</v>
      </c>
      <c r="AA162">
        <v>30.78</v>
      </c>
      <c r="AB162">
        <v>0.44</v>
      </c>
      <c r="AC162">
        <v>0.01</v>
      </c>
      <c r="AD162">
        <v>-0.52</v>
      </c>
      <c r="AE162">
        <v>-0.03</v>
      </c>
      <c r="AF162">
        <v>1099000000</v>
      </c>
      <c r="AG162">
        <v>1062128173.01</v>
      </c>
      <c r="AH162">
        <v>70</v>
      </c>
      <c r="AI162">
        <v>1000000</v>
      </c>
      <c r="AJ162">
        <v>967346.15</v>
      </c>
      <c r="AK162">
        <v>1</v>
      </c>
      <c r="AO162">
        <v>1100000000</v>
      </c>
      <c r="AP162">
        <v>1063095519.16</v>
      </c>
      <c r="AQ162">
        <v>71</v>
      </c>
      <c r="AR162">
        <v>669601000000</v>
      </c>
      <c r="AS162">
        <v>677171195634.15002</v>
      </c>
    </row>
    <row r="163" spans="1:45" x14ac:dyDescent="0.25">
      <c r="A163" t="s">
        <v>178</v>
      </c>
      <c r="B163" s="1">
        <v>46007</v>
      </c>
      <c r="C163" t="s">
        <v>397</v>
      </c>
      <c r="D163" s="1">
        <f>DATE(MID(C163,8,2)+100,MID(C163,6,2),MID(C163,4,2))</f>
        <v>49214</v>
      </c>
      <c r="E163" s="1">
        <v>46007</v>
      </c>
      <c r="G163" t="s">
        <v>398</v>
      </c>
      <c r="H163" t="s">
        <v>99</v>
      </c>
      <c r="I163">
        <v>3207</v>
      </c>
      <c r="J163">
        <v>113</v>
      </c>
      <c r="K163">
        <v>5.2508241760000001</v>
      </c>
      <c r="L163">
        <v>96</v>
      </c>
      <c r="M163">
        <v>96</v>
      </c>
      <c r="N163">
        <v>96.2</v>
      </c>
      <c r="O163">
        <v>96.2</v>
      </c>
      <c r="P163">
        <v>96.162000000000006</v>
      </c>
      <c r="Q163">
        <v>101.413</v>
      </c>
      <c r="R163" s="1">
        <v>46006</v>
      </c>
      <c r="S163">
        <v>96.5</v>
      </c>
      <c r="T163">
        <v>96.5</v>
      </c>
      <c r="U163">
        <v>28.9</v>
      </c>
      <c r="V163">
        <v>28.84</v>
      </c>
      <c r="W163">
        <v>28.9</v>
      </c>
      <c r="X163">
        <v>28.84</v>
      </c>
      <c r="Y163">
        <v>28.85</v>
      </c>
      <c r="Z163">
        <v>30.92</v>
      </c>
      <c r="AA163">
        <v>30.93</v>
      </c>
      <c r="AB163">
        <v>-0.31</v>
      </c>
      <c r="AC163">
        <v>-0.35</v>
      </c>
      <c r="AD163">
        <v>0.39</v>
      </c>
      <c r="AE163">
        <v>0.42</v>
      </c>
      <c r="AF163">
        <v>26000000</v>
      </c>
      <c r="AG163">
        <v>26367214.280000001</v>
      </c>
      <c r="AH163">
        <v>5</v>
      </c>
      <c r="AI163">
        <v>1000000</v>
      </c>
      <c r="AJ163">
        <v>1014008.24</v>
      </c>
      <c r="AK163">
        <v>1</v>
      </c>
      <c r="AO163">
        <v>27000000</v>
      </c>
      <c r="AP163">
        <v>27381222.52</v>
      </c>
      <c r="AQ163">
        <v>6</v>
      </c>
      <c r="AR163">
        <v>15956000000</v>
      </c>
      <c r="AS163">
        <v>16706031409.790001</v>
      </c>
    </row>
    <row r="164" spans="1:45" x14ac:dyDescent="0.25">
      <c r="A164" t="s">
        <v>178</v>
      </c>
      <c r="B164" s="1">
        <v>46007</v>
      </c>
      <c r="C164" t="s">
        <v>399</v>
      </c>
      <c r="D164" s="1">
        <f>DATE(MID(C164,8,2)+100,MID(C164,6,2),MID(C164,4,2))</f>
        <v>49214</v>
      </c>
      <c r="E164" s="1">
        <v>46008</v>
      </c>
      <c r="G164" t="s">
        <v>398</v>
      </c>
      <c r="H164" t="s">
        <v>99</v>
      </c>
      <c r="I164">
        <v>3206</v>
      </c>
      <c r="J164">
        <v>112</v>
      </c>
      <c r="K164">
        <v>5.326923077</v>
      </c>
      <c r="L164">
        <v>96.2</v>
      </c>
      <c r="M164">
        <v>96.2</v>
      </c>
      <c r="N164">
        <v>96.6</v>
      </c>
      <c r="O164">
        <v>96.4</v>
      </c>
      <c r="P164">
        <v>96.361999999999995</v>
      </c>
      <c r="Q164">
        <v>101.68899999999999</v>
      </c>
      <c r="R164" s="1">
        <v>46006</v>
      </c>
      <c r="S164">
        <v>96.254000000000005</v>
      </c>
      <c r="T164">
        <v>95.9</v>
      </c>
      <c r="U164">
        <v>28.84</v>
      </c>
      <c r="V164">
        <v>28.71</v>
      </c>
      <c r="W164">
        <v>28.84</v>
      </c>
      <c r="X164">
        <v>28.77</v>
      </c>
      <c r="Y164">
        <v>28.79</v>
      </c>
      <c r="Z164">
        <v>30.84</v>
      </c>
      <c r="AA164">
        <v>30.86</v>
      </c>
      <c r="AB164">
        <v>0.52</v>
      </c>
      <c r="AC164">
        <v>0.11</v>
      </c>
      <c r="AD164">
        <v>-0.61</v>
      </c>
      <c r="AE164">
        <v>-0.13</v>
      </c>
      <c r="AF164">
        <v>102000000</v>
      </c>
      <c r="AG164">
        <v>103722211.55</v>
      </c>
      <c r="AH164">
        <v>16</v>
      </c>
      <c r="AO164">
        <v>102000000</v>
      </c>
      <c r="AP164">
        <v>103722211.55</v>
      </c>
      <c r="AQ164">
        <v>16</v>
      </c>
      <c r="AR164">
        <v>120888000000</v>
      </c>
      <c r="AS164">
        <v>123907898489.48</v>
      </c>
    </row>
    <row r="165" spans="1:45" x14ac:dyDescent="0.25">
      <c r="A165" t="s">
        <v>178</v>
      </c>
      <c r="B165" s="1">
        <v>46007</v>
      </c>
      <c r="C165" t="s">
        <v>340</v>
      </c>
      <c r="D165" s="1">
        <f>DATE(MID(C165,8,2)+100,MID(C165,6,2),MID(C165,4,2))</f>
        <v>49557</v>
      </c>
      <c r="E165" s="1">
        <v>46007</v>
      </c>
      <c r="G165" t="s">
        <v>341</v>
      </c>
      <c r="H165" t="s">
        <v>99</v>
      </c>
      <c r="I165">
        <v>3550</v>
      </c>
      <c r="J165">
        <v>92</v>
      </c>
      <c r="K165">
        <v>7.4324175820000002</v>
      </c>
      <c r="L165">
        <v>104</v>
      </c>
      <c r="M165">
        <v>104</v>
      </c>
      <c r="N165">
        <v>104.1</v>
      </c>
      <c r="O165">
        <v>104.1</v>
      </c>
      <c r="P165">
        <v>104.05200000000001</v>
      </c>
      <c r="Q165">
        <v>111.48399999999999</v>
      </c>
      <c r="R165" s="1">
        <v>46006</v>
      </c>
      <c r="S165">
        <v>104.2</v>
      </c>
      <c r="T165">
        <v>104.2</v>
      </c>
      <c r="U165">
        <v>28.74</v>
      </c>
      <c r="V165">
        <v>28.71</v>
      </c>
      <c r="W165">
        <v>28.74</v>
      </c>
      <c r="X165">
        <v>28.71</v>
      </c>
      <c r="Y165">
        <v>28.72</v>
      </c>
      <c r="Z165">
        <v>30.77</v>
      </c>
      <c r="AA165">
        <v>30.78</v>
      </c>
      <c r="AB165">
        <v>-0.1</v>
      </c>
      <c r="AC165">
        <v>-0.14000000000000001</v>
      </c>
      <c r="AD165">
        <v>0.1</v>
      </c>
      <c r="AE165">
        <v>0.13</v>
      </c>
      <c r="AF165">
        <v>21000000</v>
      </c>
      <c r="AG165">
        <v>23411807.699999999</v>
      </c>
      <c r="AH165">
        <v>3</v>
      </c>
      <c r="AO165">
        <v>21000000</v>
      </c>
      <c r="AP165">
        <v>23411807.699999999</v>
      </c>
      <c r="AQ165">
        <v>3</v>
      </c>
      <c r="AR165">
        <v>5517000000</v>
      </c>
      <c r="AS165">
        <v>5717746151.3199997</v>
      </c>
    </row>
    <row r="166" spans="1:45" x14ac:dyDescent="0.25">
      <c r="A166" t="s">
        <v>178</v>
      </c>
      <c r="B166" s="1">
        <v>46007</v>
      </c>
      <c r="C166" t="s">
        <v>342</v>
      </c>
      <c r="D166" s="1">
        <f>DATE(MID(C166,8,2)+100,MID(C166,6,2),MID(C166,4,2))</f>
        <v>49557</v>
      </c>
      <c r="E166" s="1">
        <v>46008</v>
      </c>
      <c r="G166" t="s">
        <v>341</v>
      </c>
      <c r="H166" t="s">
        <v>99</v>
      </c>
      <c r="I166">
        <v>3549</v>
      </c>
      <c r="J166">
        <v>91</v>
      </c>
      <c r="K166">
        <v>7.5149999999999899</v>
      </c>
      <c r="L166">
        <v>103.9</v>
      </c>
      <c r="M166">
        <v>103.9</v>
      </c>
      <c r="N166">
        <v>104.3</v>
      </c>
      <c r="O166">
        <v>104.2</v>
      </c>
      <c r="P166">
        <v>104.006</v>
      </c>
      <c r="Q166">
        <v>111.521</v>
      </c>
      <c r="R166" s="1">
        <v>46006</v>
      </c>
      <c r="S166">
        <v>104.012</v>
      </c>
      <c r="T166">
        <v>104</v>
      </c>
      <c r="U166">
        <v>28.77</v>
      </c>
      <c r="V166">
        <v>28.65</v>
      </c>
      <c r="W166">
        <v>28.77</v>
      </c>
      <c r="X166">
        <v>28.68</v>
      </c>
      <c r="Y166">
        <v>28.74</v>
      </c>
      <c r="Z166">
        <v>30.74</v>
      </c>
      <c r="AA166">
        <v>30.8</v>
      </c>
      <c r="AB166">
        <v>0.19</v>
      </c>
      <c r="AC166">
        <v>-0.01</v>
      </c>
      <c r="AD166">
        <v>-0.19</v>
      </c>
      <c r="AE166">
        <v>0</v>
      </c>
      <c r="AF166">
        <v>144000000</v>
      </c>
      <c r="AG166">
        <v>160589850</v>
      </c>
      <c r="AH166">
        <v>16</v>
      </c>
      <c r="AI166">
        <v>17000000</v>
      </c>
      <c r="AJ166">
        <v>18958550</v>
      </c>
      <c r="AK166">
        <v>3</v>
      </c>
      <c r="AO166">
        <v>161000000</v>
      </c>
      <c r="AP166">
        <v>179548400</v>
      </c>
      <c r="AQ166">
        <v>19</v>
      </c>
      <c r="AR166">
        <v>22607000000</v>
      </c>
      <c r="AS166">
        <v>23444428145.889999</v>
      </c>
    </row>
    <row r="167" spans="1:45" hidden="1" x14ac:dyDescent="0.25">
      <c r="A167" t="s">
        <v>96</v>
      </c>
      <c r="B167" s="1">
        <v>46007</v>
      </c>
      <c r="C167" t="s">
        <v>400</v>
      </c>
      <c r="E167" s="1">
        <v>46007</v>
      </c>
      <c r="F167" s="1">
        <v>46008</v>
      </c>
      <c r="G167" t="s">
        <v>401</v>
      </c>
      <c r="H167" t="s">
        <v>99</v>
      </c>
      <c r="I167">
        <v>1</v>
      </c>
      <c r="AI167">
        <v>647932</v>
      </c>
      <c r="AJ167">
        <v>8300000</v>
      </c>
      <c r="AK167">
        <v>1</v>
      </c>
      <c r="AO167">
        <v>647932</v>
      </c>
      <c r="AP167">
        <v>8300000</v>
      </c>
      <c r="AQ167">
        <v>1</v>
      </c>
    </row>
    <row r="168" spans="1:45" hidden="1" x14ac:dyDescent="0.25">
      <c r="A168" t="s">
        <v>96</v>
      </c>
      <c r="B168" s="1">
        <v>46007</v>
      </c>
      <c r="C168" t="s">
        <v>402</v>
      </c>
      <c r="E168" s="1">
        <v>46007</v>
      </c>
      <c r="F168" s="1">
        <v>46008</v>
      </c>
      <c r="G168" t="s">
        <v>403</v>
      </c>
      <c r="H168" t="s">
        <v>99</v>
      </c>
      <c r="I168">
        <v>1</v>
      </c>
      <c r="AI168">
        <v>93550</v>
      </c>
      <c r="AJ168">
        <v>5240000</v>
      </c>
      <c r="AK168">
        <v>2</v>
      </c>
      <c r="AO168">
        <v>93550</v>
      </c>
      <c r="AP168">
        <v>5240000</v>
      </c>
      <c r="AQ168">
        <v>2</v>
      </c>
    </row>
    <row r="169" spans="1:45" hidden="1" x14ac:dyDescent="0.25">
      <c r="A169" t="s">
        <v>96</v>
      </c>
      <c r="B169" s="1">
        <v>46007</v>
      </c>
      <c r="C169" t="s">
        <v>404</v>
      </c>
      <c r="E169" s="1">
        <v>46007</v>
      </c>
      <c r="F169" s="1">
        <v>46008</v>
      </c>
      <c r="G169" t="s">
        <v>405</v>
      </c>
      <c r="H169" t="s">
        <v>99</v>
      </c>
      <c r="I169">
        <v>1</v>
      </c>
      <c r="AI169">
        <v>192162</v>
      </c>
      <c r="AJ169">
        <v>36400000</v>
      </c>
      <c r="AK169">
        <v>3</v>
      </c>
      <c r="AO169">
        <v>192162</v>
      </c>
      <c r="AP169">
        <v>36400000</v>
      </c>
      <c r="AQ169">
        <v>3</v>
      </c>
    </row>
    <row r="170" spans="1:45" hidden="1" x14ac:dyDescent="0.25">
      <c r="A170" t="s">
        <v>96</v>
      </c>
      <c r="B170" s="1">
        <v>46007</v>
      </c>
      <c r="C170" t="s">
        <v>406</v>
      </c>
      <c r="E170" s="1">
        <v>46007</v>
      </c>
      <c r="F170" s="1">
        <v>46008</v>
      </c>
      <c r="G170" t="s">
        <v>407</v>
      </c>
      <c r="H170" t="s">
        <v>99</v>
      </c>
      <c r="I170">
        <v>1</v>
      </c>
      <c r="AI170">
        <v>8897</v>
      </c>
      <c r="AJ170">
        <v>1000000</v>
      </c>
      <c r="AK170">
        <v>1</v>
      </c>
      <c r="AO170">
        <v>8897</v>
      </c>
      <c r="AP170">
        <v>1000000</v>
      </c>
      <c r="AQ170">
        <v>1</v>
      </c>
    </row>
    <row r="171" spans="1:45" hidden="1" x14ac:dyDescent="0.25">
      <c r="A171" t="s">
        <v>120</v>
      </c>
      <c r="B171" s="1">
        <v>46007</v>
      </c>
      <c r="C171" t="s">
        <v>408</v>
      </c>
      <c r="E171" s="1">
        <v>46008</v>
      </c>
      <c r="F171" s="1">
        <v>46098</v>
      </c>
      <c r="G171" t="s">
        <v>409</v>
      </c>
      <c r="H171" t="s">
        <v>99</v>
      </c>
      <c r="I171">
        <v>90</v>
      </c>
      <c r="L171">
        <v>34280</v>
      </c>
      <c r="M171">
        <v>34280</v>
      </c>
      <c r="N171">
        <v>34280</v>
      </c>
      <c r="O171">
        <v>34280</v>
      </c>
      <c r="P171">
        <v>34280</v>
      </c>
      <c r="U171">
        <v>42.71</v>
      </c>
      <c r="V171">
        <v>42.71</v>
      </c>
      <c r="W171">
        <v>42.71</v>
      </c>
      <c r="X171">
        <v>42.71</v>
      </c>
      <c r="Y171">
        <v>42.71</v>
      </c>
      <c r="AF171">
        <v>10000000</v>
      </c>
      <c r="AG171">
        <v>427100000</v>
      </c>
      <c r="AH171">
        <v>1</v>
      </c>
      <c r="AO171">
        <v>10000000</v>
      </c>
      <c r="AP171">
        <v>427100000</v>
      </c>
      <c r="AQ171">
        <v>1</v>
      </c>
    </row>
    <row r="172" spans="1:45" hidden="1" x14ac:dyDescent="0.25">
      <c r="A172" t="s">
        <v>120</v>
      </c>
      <c r="B172" s="1">
        <v>46007</v>
      </c>
      <c r="C172" t="s">
        <v>410</v>
      </c>
      <c r="E172" s="1">
        <v>46007</v>
      </c>
      <c r="F172" s="1">
        <v>46014</v>
      </c>
      <c r="G172" t="s">
        <v>409</v>
      </c>
      <c r="H172" t="s">
        <v>99</v>
      </c>
      <c r="I172">
        <v>7</v>
      </c>
      <c r="L172">
        <v>2760</v>
      </c>
      <c r="M172">
        <v>2760</v>
      </c>
      <c r="N172">
        <v>2760</v>
      </c>
      <c r="O172">
        <v>2760</v>
      </c>
      <c r="P172">
        <v>2760</v>
      </c>
      <c r="R172" s="1">
        <v>46003</v>
      </c>
      <c r="S172">
        <v>2735</v>
      </c>
      <c r="T172">
        <v>2735</v>
      </c>
      <c r="U172">
        <v>42.674999999999997</v>
      </c>
      <c r="V172">
        <v>42.674999999999997</v>
      </c>
      <c r="W172">
        <v>42.674999999999997</v>
      </c>
      <c r="X172">
        <v>42.674999999999997</v>
      </c>
      <c r="Y172">
        <v>42.674999999999997</v>
      </c>
      <c r="AB172">
        <v>0.91</v>
      </c>
      <c r="AC172">
        <v>0.91</v>
      </c>
      <c r="AF172">
        <v>20000000</v>
      </c>
      <c r="AG172">
        <v>853500000</v>
      </c>
      <c r="AH172">
        <v>1</v>
      </c>
      <c r="AO172">
        <v>20000000</v>
      </c>
      <c r="AP172">
        <v>853500000</v>
      </c>
      <c r="AQ172">
        <v>1</v>
      </c>
    </row>
    <row r="173" spans="1:45" hidden="1" x14ac:dyDescent="0.25">
      <c r="A173" t="s">
        <v>120</v>
      </c>
      <c r="B173" s="1">
        <v>46007</v>
      </c>
      <c r="C173" t="s">
        <v>411</v>
      </c>
      <c r="E173" s="1">
        <v>46007</v>
      </c>
      <c r="F173" s="1">
        <v>46008</v>
      </c>
      <c r="G173" t="s">
        <v>409</v>
      </c>
      <c r="H173" t="s">
        <v>99</v>
      </c>
      <c r="I173">
        <v>1</v>
      </c>
      <c r="L173">
        <v>395</v>
      </c>
      <c r="M173">
        <v>391</v>
      </c>
      <c r="N173">
        <v>400</v>
      </c>
      <c r="O173">
        <v>400</v>
      </c>
      <c r="P173">
        <v>393.08</v>
      </c>
      <c r="R173" s="1">
        <v>46006</v>
      </c>
      <c r="S173">
        <v>391.06</v>
      </c>
      <c r="T173">
        <v>383</v>
      </c>
      <c r="U173">
        <v>42.674999999999997</v>
      </c>
      <c r="V173">
        <v>42.674999999999997</v>
      </c>
      <c r="W173">
        <v>42.75</v>
      </c>
      <c r="X173">
        <v>42.675199999999997</v>
      </c>
      <c r="Y173">
        <v>42.712000000000003</v>
      </c>
      <c r="AB173">
        <v>4.4400000000000004</v>
      </c>
      <c r="AC173">
        <v>0.52</v>
      </c>
      <c r="AF173">
        <v>1463000000</v>
      </c>
      <c r="AG173">
        <v>62487630700</v>
      </c>
      <c r="AH173">
        <v>75</v>
      </c>
      <c r="AO173">
        <v>1463000000</v>
      </c>
      <c r="AP173">
        <v>62487630700</v>
      </c>
      <c r="AQ173">
        <v>75</v>
      </c>
    </row>
    <row r="174" spans="1:45" hidden="1" x14ac:dyDescent="0.25">
      <c r="A174" t="s">
        <v>120</v>
      </c>
      <c r="B174" s="1">
        <v>46007</v>
      </c>
      <c r="C174" t="s">
        <v>412</v>
      </c>
      <c r="E174" s="1">
        <v>46008</v>
      </c>
      <c r="F174" s="1">
        <v>46042</v>
      </c>
      <c r="G174" t="s">
        <v>409</v>
      </c>
      <c r="H174" t="s">
        <v>99</v>
      </c>
      <c r="I174">
        <v>34</v>
      </c>
      <c r="L174">
        <v>13000</v>
      </c>
      <c r="M174">
        <v>13000</v>
      </c>
      <c r="N174">
        <v>13000</v>
      </c>
      <c r="O174">
        <v>13000</v>
      </c>
      <c r="P174">
        <v>13000</v>
      </c>
      <c r="R174" s="1">
        <v>45993</v>
      </c>
      <c r="S174">
        <v>13000</v>
      </c>
      <c r="T174">
        <v>13000</v>
      </c>
      <c r="U174">
        <v>42.71</v>
      </c>
      <c r="V174">
        <v>42.71</v>
      </c>
      <c r="W174">
        <v>42.71</v>
      </c>
      <c r="X174">
        <v>42.71</v>
      </c>
      <c r="Y174">
        <v>42.71</v>
      </c>
      <c r="AB174">
        <v>0</v>
      </c>
      <c r="AC174">
        <v>0</v>
      </c>
      <c r="AF174">
        <v>10000000</v>
      </c>
      <c r="AG174">
        <v>427100000</v>
      </c>
      <c r="AH174">
        <v>1</v>
      </c>
      <c r="AO174">
        <v>10000000</v>
      </c>
      <c r="AP174">
        <v>427100000</v>
      </c>
      <c r="AQ174">
        <v>1</v>
      </c>
    </row>
    <row r="175" spans="1:45" hidden="1" x14ac:dyDescent="0.25">
      <c r="A175" t="s">
        <v>96</v>
      </c>
      <c r="B175" s="1">
        <v>46007</v>
      </c>
      <c r="C175" t="s">
        <v>413</v>
      </c>
      <c r="E175" s="1">
        <v>46007</v>
      </c>
      <c r="F175" s="1">
        <v>46008</v>
      </c>
      <c r="G175" t="s">
        <v>414</v>
      </c>
      <c r="H175" t="s">
        <v>99</v>
      </c>
      <c r="I175">
        <v>1</v>
      </c>
      <c r="AI175">
        <v>101903</v>
      </c>
      <c r="AJ175">
        <v>3000000</v>
      </c>
      <c r="AK175">
        <v>1</v>
      </c>
      <c r="AO175">
        <v>101903</v>
      </c>
      <c r="AP175">
        <v>3000000</v>
      </c>
      <c r="AQ175">
        <v>1</v>
      </c>
    </row>
    <row r="176" spans="1:45" hidden="1" x14ac:dyDescent="0.25">
      <c r="A176" t="s">
        <v>96</v>
      </c>
      <c r="B176" s="1">
        <v>46007</v>
      </c>
      <c r="C176" t="s">
        <v>415</v>
      </c>
      <c r="E176" s="1">
        <v>46007</v>
      </c>
      <c r="F176" s="1">
        <v>46008</v>
      </c>
      <c r="G176" t="s">
        <v>416</v>
      </c>
      <c r="H176" t="s">
        <v>99</v>
      </c>
      <c r="I176">
        <v>1</v>
      </c>
      <c r="AI176">
        <v>4091988</v>
      </c>
      <c r="AJ176">
        <v>148800000</v>
      </c>
      <c r="AK176">
        <v>3</v>
      </c>
      <c r="AO176">
        <v>4091988</v>
      </c>
      <c r="AP176">
        <v>148800000</v>
      </c>
      <c r="AQ176">
        <v>3</v>
      </c>
    </row>
  </sheetData>
  <autoFilter ref="A2:AW176">
    <filterColumn colId="0">
      <filters>
        <filter val="BAP KES NORMAL EMIRLER PZ (OPSN)"/>
      </filters>
    </filterColumn>
    <filterColumn colId="2">
      <customFilters>
        <customFilter val="TRT*"/>
        <customFilter val="TRB*"/>
      </customFilters>
    </filterColumn>
    <filterColumn colId="15">
      <customFilters>
        <customFilter operator="notEqual" val=" "/>
      </customFilters>
    </filterColumn>
    <sortState ref="A42:AW166">
      <sortCondition ref="D2:D1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ttb202512163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GÜRSEL KONA</dc:creator>
  <cp:lastModifiedBy>GÜRSEL KONA</cp:lastModifiedBy>
  <dcterms:created xsi:type="dcterms:W3CDTF">2025-12-17T15:18:13Z</dcterms:created>
  <dcterms:modified xsi:type="dcterms:W3CDTF">2025-12-17T15:18:13Z</dcterms:modified>
</cp:coreProperties>
</file>